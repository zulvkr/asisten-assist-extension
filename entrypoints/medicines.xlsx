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z\Dev\AsistenAssist\entrypoints\"/>
    </mc:Choice>
  </mc:AlternateContent>
  <xr:revisionPtr revIDLastSave="0" documentId="13_ncr:1_{A254D646-660B-4F92-9579-61CA068C37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2" i="1"/>
</calcChain>
</file>

<file path=xl/sharedStrings.xml><?xml version="1.0" encoding="utf-8"?>
<sst xmlns="http://schemas.openxmlformats.org/spreadsheetml/2006/main" count="452" uniqueCount="346">
  <si>
    <t>medName</t>
  </si>
  <si>
    <t>dosage</t>
  </si>
  <si>
    <t>buyFee</t>
  </si>
  <si>
    <t>stockTotal</t>
  </si>
  <si>
    <t>sellNormalFee</t>
  </si>
  <si>
    <t>margin</t>
  </si>
  <si>
    <t>medName_dosage</t>
  </si>
  <si>
    <t>marginPercentage</t>
  </si>
  <si>
    <t>ACTIFED PILEK SYR 60 ML KUNING</t>
  </si>
  <si>
    <t>ACTIFED PILEK+BATUK (COUGH) KERING SYR 60 ML MERAH</t>
  </si>
  <si>
    <t>ACYCLOVIR 5% KRIM 5 G</t>
  </si>
  <si>
    <t>ALLOPURINOL 100MG HJ</t>
  </si>
  <si>
    <t>ALPARA KAPL</t>
  </si>
  <si>
    <t>AMBEVEN KAPSUL 10</t>
  </si>
  <si>
    <t>AMBROXOL</t>
  </si>
  <si>
    <t>AMLODIPIN 10 MG TRIFA</t>
  </si>
  <si>
    <t>AMOXICILLIN 500 MG ERRITA</t>
  </si>
  <si>
    <t>ANTASIDA DOEN SUSPENSI</t>
  </si>
  <si>
    <t>ANTIMO ANAK JERUK</t>
  </si>
  <si>
    <t>ANTIMO TAB 10</t>
  </si>
  <si>
    <t>APIALYS DROP 10 ML</t>
  </si>
  <si>
    <t>APIALYS SYR 100ML</t>
  </si>
  <si>
    <t>ASAM MEFENAMAT ERRITA</t>
  </si>
  <si>
    <t>ATORVASTATIN TAB 20 MG BETA</t>
  </si>
  <si>
    <t>BALSEM GELIGA 10 GRAM</t>
  </si>
  <si>
    <t>BECOM-C TAB</t>
  </si>
  <si>
    <t>BEDAK HEROCYN 85GR</t>
  </si>
  <si>
    <t>BENOSON CREAM 5 GR</t>
  </si>
  <si>
    <t>BENOSON-N CREAM 5 GR</t>
  </si>
  <si>
    <t>BETADINE KUMUR 100 ML</t>
  </si>
  <si>
    <t>BETADINE KUMUR 190 ML</t>
  </si>
  <si>
    <t>BIOPLACENTON JELLY 15 G</t>
  </si>
  <si>
    <t>BISOLVON 8 MG TAB</t>
  </si>
  <si>
    <t>BISOLVON EXTRA SYR 60 ML</t>
  </si>
  <si>
    <t>BODREX EXTRA KAPL 4</t>
  </si>
  <si>
    <t>BODREX MIGRA TAB 4</t>
  </si>
  <si>
    <t>BUFACOMB CERAM 5GR</t>
  </si>
  <si>
    <t>CALADINE LOTION 60 ML</t>
  </si>
  <si>
    <t xml:space="preserve">CAPTOPRIL </t>
  </si>
  <si>
    <t>CAPTOPRIL 12.5 MG TAB DX</t>
  </si>
  <si>
    <t>CATARLENT</t>
  </si>
  <si>
    <t>CATARLENT MD</t>
  </si>
  <si>
    <t>CEFADROXIL 500 MG CAPS HJ</t>
  </si>
  <si>
    <t>CENDO HYALUB MD</t>
  </si>
  <si>
    <t>CENDO LYTEERS 15 ML</t>
  </si>
  <si>
    <t>CENDO VITROLENTA 5 ML</t>
  </si>
  <si>
    <t>CENDO XITROL</t>
  </si>
  <si>
    <t>CENFRESH ED</t>
  </si>
  <si>
    <t>CENFRESH MD</t>
  </si>
  <si>
    <t>CETIRIZINE SYR IFI</t>
  </si>
  <si>
    <t xml:space="preserve">CIPROFLOXACIN 500 MG </t>
  </si>
  <si>
    <t>CLOPIDOGREL 75 MG (KF)</t>
  </si>
  <si>
    <t>COMBANTRIN</t>
  </si>
  <si>
    <t>COTRIMOXAZOLE SYR MERSI</t>
  </si>
  <si>
    <t>CTM TAB TRIFA</t>
  </si>
  <si>
    <t xml:space="preserve">CUKA APEL VINEGAR </t>
  </si>
  <si>
    <t>CURCUMA FORCE TAB 12</t>
  </si>
  <si>
    <t>Candesartan 8 mg isi 30 BETA</t>
  </si>
  <si>
    <t>DECOLGEN TAB 4</t>
  </si>
  <si>
    <t>DECOLSIN TAB 4</t>
  </si>
  <si>
    <t>DEXAHARSEN 0.5 MG TAB</t>
  </si>
  <si>
    <t>DEXTEEM PLUS TAB</t>
  </si>
  <si>
    <t>DICLOFENAC SODIUM TAB</t>
  </si>
  <si>
    <t>DIGOXIN 0,25 MG TAB</t>
  </si>
  <si>
    <t>DOMPERIDONE 10 MG TAB</t>
  </si>
  <si>
    <t>DOMPERIDONE SUSPENSI 60 ML</t>
  </si>
  <si>
    <t>DULCOLAX TAB 4</t>
  </si>
  <si>
    <t>ENERVON ACTIVE TAB 4"</t>
  </si>
  <si>
    <t>ENERVON-C TAB 4</t>
  </si>
  <si>
    <t>ERLAMYCETIN PLUS TETES MATA 5 ML</t>
  </si>
  <si>
    <t>ERLAMYCETIN TETES MATA</t>
  </si>
  <si>
    <t>ERLAMYCETIN TETES TELINGA 10 ML</t>
  </si>
  <si>
    <t>EYEFRESH ED</t>
  </si>
  <si>
    <t>EYEFRESH MD</t>
  </si>
  <si>
    <t>EYEFRESH PLUS MD</t>
  </si>
  <si>
    <t>EYEVIT TAB 6</t>
  </si>
  <si>
    <t>FASIDOL DROP SYR</t>
  </si>
  <si>
    <t>FASIDOL SYR</t>
  </si>
  <si>
    <t>FENOFIBRATE</t>
  </si>
  <si>
    <t xml:space="preserve">FOLIC ACID </t>
  </si>
  <si>
    <t>FU FANG EJIAO JIANG</t>
  </si>
  <si>
    <t>FUROSEMID 40 MG TAB</t>
  </si>
  <si>
    <t>GABAPENTIN KAP</t>
  </si>
  <si>
    <t>GENTA 1% ED</t>
  </si>
  <si>
    <t>GENTAMYCIN CREAM RAMA</t>
  </si>
  <si>
    <t>GLIMEPIRID 1 MG TAB DEXA</t>
  </si>
  <si>
    <t>GLIMEPIRID 4 MG TAB DEXA</t>
  </si>
  <si>
    <t>GLIMEPIRIDE 2 MG TAB DX</t>
  </si>
  <si>
    <t>GLIMEPIRIDE 3 MG DX</t>
  </si>
  <si>
    <t xml:space="preserve">HUFAGRIP BATUK PILEK </t>
  </si>
  <si>
    <t xml:space="preserve">HUFAGRIP BP BERDAHAK </t>
  </si>
  <si>
    <t>HUFAGRIP SYR 60 ML KUNING</t>
  </si>
  <si>
    <t>HUFAGRIP SYR PILEK 60 ML BIRU</t>
  </si>
  <si>
    <t>IMBOOST TAB 10</t>
  </si>
  <si>
    <t>IMODIUM 2 MG TAB</t>
  </si>
  <si>
    <t>INCIDAL-OD TAB 4</t>
  </si>
  <si>
    <t>INTUNAL-F TAB 4</t>
  </si>
  <si>
    <t>KENALOG IN ORABASE 5 G PASTE</t>
  </si>
  <si>
    <t>L-BIO SACHET</t>
  </si>
  <si>
    <t>LACTO B</t>
  </si>
  <si>
    <t>LELAP TAB 4</t>
  </si>
  <si>
    <t>LOPAMID TAB</t>
  </si>
  <si>
    <t>LYTEERS MINIDOSE</t>
  </si>
  <si>
    <t>METFORMIN HCL 500 MG HJ</t>
  </si>
  <si>
    <t xml:space="preserve">MINYAK TAWON DD </t>
  </si>
  <si>
    <t xml:space="preserve">MINYAK ZAITUN RAFAEL SALDAGO </t>
  </si>
  <si>
    <t>NEUROBION 10 TAB PUTIH</t>
  </si>
  <si>
    <t>NEUROBION FORTE TAB 10</t>
  </si>
  <si>
    <t>OBH COMBI ANAK BATUK PLUS FLU SYR APEL 60 ML</t>
  </si>
  <si>
    <t>OBH COMBI ANAK BATUK PLUS FLU SYR JERUK 60 ML</t>
  </si>
  <si>
    <t>OBH COMBI ANAK BATUK PLUS FLU SYR STRAWBERRY 60 ML</t>
  </si>
  <si>
    <t>OBH COMBI ANAK RASA MADU</t>
  </si>
  <si>
    <t xml:space="preserve">OBH COMBI BATUK FLU JAHE </t>
  </si>
  <si>
    <t xml:space="preserve">OBH COMBI BATUK FLU MADU </t>
  </si>
  <si>
    <t>OBH COMBI BATUK PLUS FLU SYR METHOL 60 ML</t>
  </si>
  <si>
    <t>OBH COMBI DEWASA PLUS MADU</t>
  </si>
  <si>
    <t>OBH COMBI HERBAL 60 Ml SYR</t>
  </si>
  <si>
    <t>OBH NELLCO PE SPECIAL 100 ML</t>
  </si>
  <si>
    <t>OBH NELLCO SPECIAL PE 55 ML</t>
  </si>
  <si>
    <t>PAMOL TAB 10</t>
  </si>
  <si>
    <t>PANADOL BIRU TAB 10</t>
  </si>
  <si>
    <t>PANADOL EXTRA MERAH TAB 10</t>
  </si>
  <si>
    <t>PANADOL FLU DAN BATUK (HIJAU) TAB 10</t>
  </si>
  <si>
    <t>PARATUSIN SYR 60 ML</t>
  </si>
  <si>
    <t>PEDITOK 50ML</t>
  </si>
  <si>
    <t>PI KANG SHUANG 5 G</t>
  </si>
  <si>
    <t>PONSTAN 500 MG TAB</t>
  </si>
  <si>
    <t>PREGABALIN 75 MG</t>
  </si>
  <si>
    <t>PRORENAL TABLET</t>
  </si>
  <si>
    <t>PROTAGENTA MD</t>
  </si>
  <si>
    <t>PROVE D3 5000 IU TAB</t>
  </si>
  <si>
    <t>PROVE D3- 1000IU TAB</t>
  </si>
  <si>
    <t>SANGOBION KAPSUL</t>
  </si>
  <si>
    <t>SANMOL DROPS 15 ML</t>
  </si>
  <si>
    <t>SANMOL FORTE SYR 60 ML</t>
  </si>
  <si>
    <t>SANMOL FORTE TAB 4</t>
  </si>
  <si>
    <t>SANMOL SYR 60 ML</t>
  </si>
  <si>
    <t>SANMOL TAB 500 MG 4"</t>
  </si>
  <si>
    <t>SILADEX BATUK&amp;PILEK 60ML BIRU</t>
  </si>
  <si>
    <t>SILADEX HIJAU 60ML</t>
  </si>
  <si>
    <t>SILEX SYR 100 ML</t>
  </si>
  <si>
    <t xml:space="preserve">SUSU KAMBING ETAWA </t>
  </si>
  <si>
    <t>TRANSPULMIN BABY 10 GRAM</t>
  </si>
  <si>
    <t>TRIGONA GOLD</t>
  </si>
  <si>
    <t xml:space="preserve">VCO ALMAHERA </t>
  </si>
  <si>
    <t>VERMINT 12 KAPSUL</t>
  </si>
  <si>
    <t>VICKS FORMULA 44 ANAK STRAWBERRY SYR 54 ML</t>
  </si>
  <si>
    <t>VICKS FORMULA 44 DEWASA 54ML</t>
  </si>
  <si>
    <t>VITABUMIN</t>
  </si>
  <si>
    <t>VITACIMIN @2TAB</t>
  </si>
  <si>
    <t>VOMETA FT TAB</t>
  </si>
  <si>
    <t>XITROL ED</t>
  </si>
  <si>
    <t>ZEGAVIT TAB 6</t>
  </si>
  <si>
    <t>ZYLORIC 100 MG TAB</t>
  </si>
  <si>
    <t>ZYLORIC 300 MG TAB</t>
  </si>
  <si>
    <t>-</t>
  </si>
  <si>
    <t>0.10%</t>
  </si>
  <si>
    <t>100 mg</t>
  </si>
  <si>
    <t>30 mg</t>
  </si>
  <si>
    <t>10 mg</t>
  </si>
  <si>
    <t>500 MG</t>
  </si>
  <si>
    <t>60 ml</t>
  </si>
  <si>
    <t>500 mg</t>
  </si>
  <si>
    <t>20 mg</t>
  </si>
  <si>
    <t>8 mg</t>
  </si>
  <si>
    <t xml:space="preserve">25 MG </t>
  </si>
  <si>
    <t>12.5 mg</t>
  </si>
  <si>
    <t>5 ML</t>
  </si>
  <si>
    <t>0,6 ML</t>
  </si>
  <si>
    <t>75 MG</t>
  </si>
  <si>
    <t>125 MG</t>
  </si>
  <si>
    <t>4 MG</t>
  </si>
  <si>
    <t>330ML</t>
  </si>
  <si>
    <t>8 MG</t>
  </si>
  <si>
    <t>0.5 mg</t>
  </si>
  <si>
    <t>50 MG</t>
  </si>
  <si>
    <t>0,25 MG</t>
  </si>
  <si>
    <t>0,5%</t>
  </si>
  <si>
    <t>15 ML</t>
  </si>
  <si>
    <t xml:space="preserve">120MG/5ML </t>
  </si>
  <si>
    <t>100 MG</t>
  </si>
  <si>
    <t>300 MG</t>
  </si>
  <si>
    <t>1 MG</t>
  </si>
  <si>
    <t>40 mg</t>
  </si>
  <si>
    <t>5 G</t>
  </si>
  <si>
    <t>1 mg</t>
  </si>
  <si>
    <t>4 mg</t>
  </si>
  <si>
    <t>2 mg</t>
  </si>
  <si>
    <t>3 MG</t>
  </si>
  <si>
    <t xml:space="preserve">60 ML </t>
  </si>
  <si>
    <t xml:space="preserve">30 ML </t>
  </si>
  <si>
    <t xml:space="preserve">40 ML  </t>
  </si>
  <si>
    <t>75 mg</t>
  </si>
  <si>
    <t>5000 IU</t>
  </si>
  <si>
    <t>1000 IU</t>
  </si>
  <si>
    <t xml:space="preserve">200 KAPSUL </t>
  </si>
  <si>
    <t>150 ML</t>
  </si>
  <si>
    <t>300 mg</t>
  </si>
  <si>
    <t>ACTIFED PILEK SYR 60 ML KUNING (-)</t>
  </si>
  <si>
    <t>ACTIFED PILEK+BATUK (COUGH) KERING SYR 60 ML MERAH (-)</t>
  </si>
  <si>
    <t>ACYCLOVIR 5% KRIM 5 G (0.10%)</t>
  </si>
  <si>
    <t>ALLOPURINOL 100MG HJ (100 mg)</t>
  </si>
  <si>
    <t>ALPARA KAPL (-)</t>
  </si>
  <si>
    <t>AMBEVEN KAPSUL 10 (-)</t>
  </si>
  <si>
    <t>AMBROXOL (30 mg)</t>
  </si>
  <si>
    <t>AMLODIPIN 10 MG TRIFA (10 mg)</t>
  </si>
  <si>
    <t>AMOXICILLIN 500 MG ERRITA (500 MG)</t>
  </si>
  <si>
    <t>ANTASIDA DOEN SUSPENSI (60 ml)</t>
  </si>
  <si>
    <t>ANTIMO ANAK JERUK (-)</t>
  </si>
  <si>
    <t>ANTIMO TAB 10 (-)</t>
  </si>
  <si>
    <t>APIALYS DROP 10 ML (-)</t>
  </si>
  <si>
    <t>APIALYS SYR 100ML (-)</t>
  </si>
  <si>
    <t>ASAM MEFENAMAT ERRITA (500 mg)</t>
  </si>
  <si>
    <t>ATORVASTATIN TAB 20 MG BETA (20 mg)</t>
  </si>
  <si>
    <t>BALSEM GELIGA 10 GRAM (-)</t>
  </si>
  <si>
    <t>BECOM-C TAB (-)</t>
  </si>
  <si>
    <t>BEDAK HEROCYN 85GR (-)</t>
  </si>
  <si>
    <t>BENOSON CREAM 5 GR (-)</t>
  </si>
  <si>
    <t>BENOSON-N CREAM 5 GR (-)</t>
  </si>
  <si>
    <t>BETADINE KUMUR 100 ML (-)</t>
  </si>
  <si>
    <t>BETADINE KUMUR 190 ML (-)</t>
  </si>
  <si>
    <t>BIOPLACENTON JELLY 15 G (-)</t>
  </si>
  <si>
    <t>BISOLVON 8 MG TAB (8 mg)</t>
  </si>
  <si>
    <t>BISOLVON EXTRA SYR 60 ML (-)</t>
  </si>
  <si>
    <t>BODREX EXTRA KAPL 4 (-)</t>
  </si>
  <si>
    <t>BODREX MIGRA TAB 4 (-)</t>
  </si>
  <si>
    <t>BUFACOMB CERAM 5GR (-)</t>
  </si>
  <si>
    <t>CALADINE LOTION 60 ML (-)</t>
  </si>
  <si>
    <t>CAPTOPRIL  (25 MG )</t>
  </si>
  <si>
    <t>CAPTOPRIL 12.5 MG TAB DX (12.5 mg)</t>
  </si>
  <si>
    <t>CATARLENT (5 ML)</t>
  </si>
  <si>
    <t>CATARLENT MD (0,6 ML)</t>
  </si>
  <si>
    <t>CEFADROXIL 500 MG CAPS HJ (500 mg)</t>
  </si>
  <si>
    <t>CENDO HYALUB MD (0,6 ML)</t>
  </si>
  <si>
    <t>CENDO LYTEERS 15 ML (-)</t>
  </si>
  <si>
    <t>CENDO VITROLENTA 5 ML (-)</t>
  </si>
  <si>
    <t>CENDO XITROL (0,6 ML)</t>
  </si>
  <si>
    <t>CENFRESH ED (5 ML)</t>
  </si>
  <si>
    <t>CENFRESH MD (0,6 ML)</t>
  </si>
  <si>
    <t>CETIRIZINE SYR IFI (60 ml)</t>
  </si>
  <si>
    <t>CIPROFLOXACIN 500 MG  (500 mg)</t>
  </si>
  <si>
    <t>CLOPIDOGREL 75 MG (KF) (75 MG)</t>
  </si>
  <si>
    <t>COMBANTRIN (125 MG)</t>
  </si>
  <si>
    <t>COTRIMOXAZOLE SYR MERSI (60 ml)</t>
  </si>
  <si>
    <t>CTM TAB TRIFA (4 MG)</t>
  </si>
  <si>
    <t>CUKA APEL VINEGAR  (330ML)</t>
  </si>
  <si>
    <t>CURCUMA FORCE TAB 12 (-)</t>
  </si>
  <si>
    <t>Candesartan 8 mg isi 30 BETA (8 MG)</t>
  </si>
  <si>
    <t>DECOLGEN TAB 4 (-)</t>
  </si>
  <si>
    <t>DECOLSIN TAB 4 (-)</t>
  </si>
  <si>
    <t>DEXAHARSEN 0.5 MG TAB (0.5 mg)</t>
  </si>
  <si>
    <t>DEXTEEM PLUS TAB (-)</t>
  </si>
  <si>
    <t>DICLOFENAC SODIUM TAB (50 MG)</t>
  </si>
  <si>
    <t>DIGOXIN 0,25 MG TAB (0,25 MG)</t>
  </si>
  <si>
    <t>DOMPERIDONE 10 MG TAB (10 mg)</t>
  </si>
  <si>
    <t>DOMPERIDONE SUSPENSI 60 ML (60 ml)</t>
  </si>
  <si>
    <t>DULCOLAX TAB 4 (-)</t>
  </si>
  <si>
    <t>ENERVON ACTIVE TAB 4" (-)</t>
  </si>
  <si>
    <t>ENERVON-C TAB 4 (-)</t>
  </si>
  <si>
    <t>ERLAMYCETIN PLUS TETES MATA 5 ML (-)</t>
  </si>
  <si>
    <t>ERLAMYCETIN TETES MATA (0,5%)</t>
  </si>
  <si>
    <t>ERLAMYCETIN TETES TELINGA 10 ML (-)</t>
  </si>
  <si>
    <t>EYEFRESH ED (5 ML)</t>
  </si>
  <si>
    <t>EYEFRESH MD (0,6 ML)</t>
  </si>
  <si>
    <t>EYEFRESH PLUS MD (0,6 ML)</t>
  </si>
  <si>
    <t>EYEVIT TAB 6 (-)</t>
  </si>
  <si>
    <t>FASIDOL DROP SYR (15 ML)</t>
  </si>
  <si>
    <t>FASIDOL SYR (120MG/5ML )</t>
  </si>
  <si>
    <t>FENOFIBRATE (100 MG)</t>
  </si>
  <si>
    <t>FENOFIBRATE (300 MG)</t>
  </si>
  <si>
    <t>FOLIC ACID  (1 MG)</t>
  </si>
  <si>
    <t>FU FANG EJIAO JIANG (-)</t>
  </si>
  <si>
    <t>FUROSEMID 40 MG TAB (40 mg)</t>
  </si>
  <si>
    <t>GABAPENTIN KAP (300 MG)</t>
  </si>
  <si>
    <t>GENTA 1% ED (5 ML)</t>
  </si>
  <si>
    <t>GENTAMYCIN CREAM RAMA (5 G)</t>
  </si>
  <si>
    <t>GLIMEPIRID 1 MG TAB DEXA (1 mg)</t>
  </si>
  <si>
    <t>GLIMEPIRID 4 MG TAB DEXA (4 mg)</t>
  </si>
  <si>
    <t>GLIMEPIRIDE 2 MG TAB DX (2 mg)</t>
  </si>
  <si>
    <t>GLIMEPIRIDE 3 MG DX (3 MG)</t>
  </si>
  <si>
    <t>HUFAGRIP BATUK PILEK  (60 ML )</t>
  </si>
  <si>
    <t>HUFAGRIP BP BERDAHAK  (60 ML )</t>
  </si>
  <si>
    <t>HUFAGRIP SYR 60 ML KUNING (-)</t>
  </si>
  <si>
    <t>HUFAGRIP SYR PILEK 60 ML BIRU (-)</t>
  </si>
  <si>
    <t>IMBOOST TAB 10 (-)</t>
  </si>
  <si>
    <t>IMODIUM 2 MG TAB (2 mg)</t>
  </si>
  <si>
    <t>INCIDAL-OD TAB 4 (-)</t>
  </si>
  <si>
    <t>INTUNAL-F TAB 4 (-)</t>
  </si>
  <si>
    <t>KENALOG IN ORABASE 5 G PASTE (-)</t>
  </si>
  <si>
    <t>L-BIO SACHET (-)</t>
  </si>
  <si>
    <t>LACTO B (-)</t>
  </si>
  <si>
    <t>LELAP TAB 4 (-)</t>
  </si>
  <si>
    <t>LOPAMID TAB (-)</t>
  </si>
  <si>
    <t>LYTEERS MINIDOSE (0,6 ML)</t>
  </si>
  <si>
    <t>METFORMIN HCL 500 MG HJ (500 mg)</t>
  </si>
  <si>
    <t>MINYAK TAWON DD  (30 ML )</t>
  </si>
  <si>
    <t>MINYAK ZAITUN RAFAEL SALDAGO  (40 ML  )</t>
  </si>
  <si>
    <t>NEUROBION 10 TAB PUTIH (-)</t>
  </si>
  <si>
    <t>NEUROBION FORTE TAB 10 (-)</t>
  </si>
  <si>
    <t>OBH COMBI ANAK BATUK PLUS FLU SYR APEL 60 ML (-)</t>
  </si>
  <si>
    <t>OBH COMBI ANAK BATUK PLUS FLU SYR JERUK 60 ML (-)</t>
  </si>
  <si>
    <t>OBH COMBI ANAK BATUK PLUS FLU SYR STRAWBERRY 60 ML (-)</t>
  </si>
  <si>
    <t>OBH COMBI ANAK RASA MADU (60 ml)</t>
  </si>
  <si>
    <t>OBH COMBI BATUK FLU JAHE  (60 ML )</t>
  </si>
  <si>
    <t>OBH COMBI BATUK FLU MADU  (60 ML )</t>
  </si>
  <si>
    <t>OBH COMBI BATUK PLUS FLU SYR METHOL 60 ML (-)</t>
  </si>
  <si>
    <t>OBH COMBI DEWASA PLUS MADU (60 ml)</t>
  </si>
  <si>
    <t>OBH COMBI HERBAL 60 Ml SYR (-)</t>
  </si>
  <si>
    <t>OBH NELLCO PE SPECIAL 100 ML (-)</t>
  </si>
  <si>
    <t>OBH NELLCO SPECIAL PE 55 ML (-)</t>
  </si>
  <si>
    <t>PAMOL TAB 10 (-)</t>
  </si>
  <si>
    <t>PANADOL BIRU TAB 10 (-)</t>
  </si>
  <si>
    <t>PANADOL EXTRA MERAH TAB 10 (-)</t>
  </si>
  <si>
    <t>PANADOL FLU DAN BATUK (HIJAU) TAB 10 (-)</t>
  </si>
  <si>
    <t>PARATUSIN SYR 60 ML (-)</t>
  </si>
  <si>
    <t>PEDITOK 50ML (-)</t>
  </si>
  <si>
    <t>PI KANG SHUANG 5 G (-)</t>
  </si>
  <si>
    <t>PONSTAN 500 MG TAB (500 mg)</t>
  </si>
  <si>
    <t>PREGABALIN 75 MG (75 mg)</t>
  </si>
  <si>
    <t>PRORENAL TABLET (-)</t>
  </si>
  <si>
    <t>PROTAGENTA MD (0,6 ML)</t>
  </si>
  <si>
    <t>PROVE D3 5000 IU TAB (5000 IU)</t>
  </si>
  <si>
    <t>PROVE D3- 1000IU TAB (1000 IU)</t>
  </si>
  <si>
    <t>SANGOBION KAPSUL (-)</t>
  </si>
  <si>
    <t>SANMOL DROPS 15 ML (-)</t>
  </si>
  <si>
    <t>SANMOL FORTE SYR 60 ML (-)</t>
  </si>
  <si>
    <t>SANMOL FORTE TAB 4 (-)</t>
  </si>
  <si>
    <t>SANMOL SYR 60 ML (-)</t>
  </si>
  <si>
    <t>SANMOL TAB 500 MG 4" (500 mg)</t>
  </si>
  <si>
    <t>SILADEX BATUK&amp;PILEK 60ML BIRU (-)</t>
  </si>
  <si>
    <t>SILADEX HIJAU 60ML (-)</t>
  </si>
  <si>
    <t>SILEX SYR 100 ML (-)</t>
  </si>
  <si>
    <t>SUSU KAMBING ETAWA  (-)</t>
  </si>
  <si>
    <t>TRANSPULMIN BABY 10 GRAM (-)</t>
  </si>
  <si>
    <t>TRIGONA GOLD (200 KAPSUL )</t>
  </si>
  <si>
    <t>VCO ALMAHERA  (150 ML)</t>
  </si>
  <si>
    <t>VERMINT 12 KAPSUL (-)</t>
  </si>
  <si>
    <t>VICKS FORMULA 44 ANAK STRAWBERRY SYR 54 ML (-)</t>
  </si>
  <si>
    <t>VICKS FORMULA 44 DEWASA 54ML (-)</t>
  </si>
  <si>
    <t>VITABUMIN (60 ML )</t>
  </si>
  <si>
    <t>VITACIMIN @2TAB (-)</t>
  </si>
  <si>
    <t>VOMETA FT TAB (-)</t>
  </si>
  <si>
    <t>XITROL ED (5 ML)</t>
  </si>
  <si>
    <t>ZEGAVIT TAB 6 (-)</t>
  </si>
  <si>
    <t>ZYLORIC 100 MG TAB (100 mg)</t>
  </si>
  <si>
    <t>ZYLORIC 300 MG TAB (300 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</si>
</sst>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topLeftCell="A132" workbookViewId="0">
      <selection activeCell="A146" sqref="A146"/>
    </sheetView>
  </sheetViews>
  <sheetFormatPr defaultRowHeight="14.5" x14ac:dyDescent="0.35"/>
  <cols>
    <col min="1" max="1" width="51.36328125" bestFit="1" customWidth="1"/>
    <col min="8" max="8" width="5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155</v>
      </c>
      <c r="C2">
        <v>57000.72</v>
      </c>
      <c r="D2">
        <v>2</v>
      </c>
      <c r="E2">
        <v>68000</v>
      </c>
      <c r="F2">
        <f>MOD(E2,100)</f>
        <v>0</v>
      </c>
      <c r="G2">
        <v>10999.28</v>
      </c>
      <c r="H2" t="s">
        <v>198</v>
      </c>
      <c r="I2">
        <v>19.3</v>
      </c>
    </row>
    <row r="3" spans="1:9" x14ac:dyDescent="0.35">
      <c r="A3" t="s">
        <v>9</v>
      </c>
      <c r="B3" t="s">
        <v>155</v>
      </c>
      <c r="C3">
        <v>57000.72</v>
      </c>
      <c r="D3">
        <v>2</v>
      </c>
      <c r="E3">
        <v>68000</v>
      </c>
      <c r="F3">
        <f t="shared" ref="F3:F66" si="0">MOD(E3,100)</f>
        <v>0</v>
      </c>
      <c r="G3">
        <v>10999.28</v>
      </c>
      <c r="H3" t="s">
        <v>199</v>
      </c>
      <c r="I3">
        <v>19.3</v>
      </c>
    </row>
    <row r="4" spans="1:9" x14ac:dyDescent="0.35">
      <c r="A4" t="s">
        <v>10</v>
      </c>
      <c r="B4" t="s">
        <v>156</v>
      </c>
      <c r="C4">
        <v>2835</v>
      </c>
      <c r="D4">
        <v>10</v>
      </c>
      <c r="E4">
        <v>4000</v>
      </c>
      <c r="F4">
        <f t="shared" si="0"/>
        <v>0</v>
      </c>
      <c r="G4">
        <v>1165</v>
      </c>
      <c r="H4" t="s">
        <v>200</v>
      </c>
      <c r="I4">
        <v>41.09</v>
      </c>
    </row>
    <row r="5" spans="1:9" x14ac:dyDescent="0.35">
      <c r="A5" t="s">
        <v>11</v>
      </c>
      <c r="B5" t="s">
        <v>157</v>
      </c>
      <c r="C5">
        <v>178.2</v>
      </c>
      <c r="D5">
        <v>100</v>
      </c>
      <c r="E5">
        <v>300</v>
      </c>
      <c r="F5">
        <f t="shared" si="0"/>
        <v>0</v>
      </c>
      <c r="G5">
        <v>121.8</v>
      </c>
      <c r="H5" t="s">
        <v>201</v>
      </c>
      <c r="I5">
        <v>68.349999999999994</v>
      </c>
    </row>
    <row r="6" spans="1:9" x14ac:dyDescent="0.35">
      <c r="A6" t="s">
        <v>12</v>
      </c>
      <c r="B6" t="s">
        <v>155</v>
      </c>
      <c r="C6">
        <v>754</v>
      </c>
      <c r="D6">
        <v>150</v>
      </c>
      <c r="E6">
        <v>900</v>
      </c>
      <c r="F6">
        <f t="shared" si="0"/>
        <v>0</v>
      </c>
      <c r="G6">
        <v>146</v>
      </c>
      <c r="H6" t="s">
        <v>202</v>
      </c>
      <c r="I6">
        <v>19.36</v>
      </c>
    </row>
    <row r="7" spans="1:9" x14ac:dyDescent="0.35">
      <c r="A7" t="s">
        <v>13</v>
      </c>
      <c r="B7" t="s">
        <v>155</v>
      </c>
      <c r="C7">
        <v>1650</v>
      </c>
      <c r="D7">
        <v>10</v>
      </c>
      <c r="E7">
        <v>1800</v>
      </c>
      <c r="F7">
        <f t="shared" si="0"/>
        <v>0</v>
      </c>
      <c r="G7">
        <v>150</v>
      </c>
      <c r="H7" t="s">
        <v>203</v>
      </c>
      <c r="I7">
        <v>9.09</v>
      </c>
    </row>
    <row r="8" spans="1:9" x14ac:dyDescent="0.35">
      <c r="A8" t="s">
        <v>14</v>
      </c>
      <c r="B8" t="s">
        <v>158</v>
      </c>
      <c r="C8">
        <v>100.8</v>
      </c>
      <c r="D8">
        <v>100</v>
      </c>
      <c r="E8">
        <v>200</v>
      </c>
      <c r="F8">
        <f t="shared" si="0"/>
        <v>0</v>
      </c>
      <c r="G8">
        <v>99.2</v>
      </c>
      <c r="H8" t="s">
        <v>204</v>
      </c>
      <c r="I8">
        <v>98.41</v>
      </c>
    </row>
    <row r="9" spans="1:9" x14ac:dyDescent="0.35">
      <c r="A9" t="s">
        <v>15</v>
      </c>
      <c r="B9" t="s">
        <v>159</v>
      </c>
      <c r="C9">
        <v>84.03</v>
      </c>
      <c r="D9">
        <v>100</v>
      </c>
      <c r="E9">
        <v>100</v>
      </c>
      <c r="F9">
        <f t="shared" si="0"/>
        <v>0</v>
      </c>
      <c r="G9">
        <v>15.97</v>
      </c>
      <c r="H9" t="s">
        <v>205</v>
      </c>
      <c r="I9">
        <v>19.010000000000002</v>
      </c>
    </row>
    <row r="10" spans="1:9" x14ac:dyDescent="0.35">
      <c r="A10" t="s">
        <v>16</v>
      </c>
      <c r="B10" t="s">
        <v>160</v>
      </c>
      <c r="C10">
        <v>470.8</v>
      </c>
      <c r="D10">
        <v>100</v>
      </c>
      <c r="E10">
        <v>600</v>
      </c>
      <c r="F10">
        <f t="shared" si="0"/>
        <v>0</v>
      </c>
      <c r="G10">
        <v>129.19999999999999</v>
      </c>
      <c r="H10" t="s">
        <v>206</v>
      </c>
      <c r="I10">
        <v>27.44</v>
      </c>
    </row>
    <row r="11" spans="1:9" x14ac:dyDescent="0.35">
      <c r="A11" t="s">
        <v>17</v>
      </c>
      <c r="B11" t="s">
        <v>161</v>
      </c>
      <c r="C11">
        <v>3808</v>
      </c>
      <c r="D11">
        <v>1</v>
      </c>
      <c r="E11">
        <v>5000</v>
      </c>
      <c r="F11">
        <f t="shared" si="0"/>
        <v>0</v>
      </c>
      <c r="G11">
        <v>1192</v>
      </c>
      <c r="H11" t="s">
        <v>207</v>
      </c>
      <c r="I11">
        <v>31.3</v>
      </c>
    </row>
    <row r="12" spans="1:9" x14ac:dyDescent="0.35">
      <c r="A12" t="s">
        <v>18</v>
      </c>
      <c r="B12" t="s">
        <v>155</v>
      </c>
      <c r="C12">
        <v>2220</v>
      </c>
      <c r="D12">
        <v>10</v>
      </c>
      <c r="E12">
        <v>3000</v>
      </c>
      <c r="F12">
        <f t="shared" si="0"/>
        <v>0</v>
      </c>
      <c r="G12">
        <v>780</v>
      </c>
      <c r="H12" t="s">
        <v>208</v>
      </c>
      <c r="I12">
        <v>35.14</v>
      </c>
    </row>
    <row r="13" spans="1:9" x14ac:dyDescent="0.35">
      <c r="A13" t="s">
        <v>19</v>
      </c>
      <c r="B13" t="s">
        <v>155</v>
      </c>
      <c r="C13">
        <v>443.88</v>
      </c>
      <c r="D13">
        <v>50</v>
      </c>
      <c r="E13">
        <v>500</v>
      </c>
      <c r="F13">
        <f t="shared" si="0"/>
        <v>0</v>
      </c>
      <c r="G13">
        <v>56.12</v>
      </c>
      <c r="H13" t="s">
        <v>209</v>
      </c>
      <c r="I13">
        <v>12.64</v>
      </c>
    </row>
    <row r="14" spans="1:9" x14ac:dyDescent="0.35">
      <c r="A14" t="s">
        <v>20</v>
      </c>
      <c r="B14" t="s">
        <v>155</v>
      </c>
      <c r="C14">
        <v>52725</v>
      </c>
      <c r="D14">
        <v>1</v>
      </c>
      <c r="E14">
        <v>62000</v>
      </c>
      <c r="F14">
        <f t="shared" si="0"/>
        <v>0</v>
      </c>
      <c r="G14">
        <v>9275</v>
      </c>
      <c r="H14" t="s">
        <v>210</v>
      </c>
      <c r="I14">
        <v>17.59</v>
      </c>
    </row>
    <row r="15" spans="1:9" x14ac:dyDescent="0.35">
      <c r="A15" t="s">
        <v>21</v>
      </c>
      <c r="B15" t="s">
        <v>155</v>
      </c>
      <c r="C15">
        <v>44400</v>
      </c>
      <c r="D15">
        <v>1</v>
      </c>
      <c r="E15">
        <v>52000</v>
      </c>
      <c r="F15">
        <f t="shared" si="0"/>
        <v>0</v>
      </c>
      <c r="G15">
        <v>7600</v>
      </c>
      <c r="H15" t="s">
        <v>211</v>
      </c>
      <c r="I15">
        <v>17.12</v>
      </c>
    </row>
    <row r="16" spans="1:9" x14ac:dyDescent="0.35">
      <c r="A16" t="s">
        <v>22</v>
      </c>
      <c r="B16" t="s">
        <v>162</v>
      </c>
      <c r="C16">
        <v>176</v>
      </c>
      <c r="D16">
        <v>100</v>
      </c>
      <c r="E16">
        <v>300</v>
      </c>
      <c r="F16">
        <f t="shared" si="0"/>
        <v>0</v>
      </c>
      <c r="G16">
        <v>124</v>
      </c>
      <c r="H16" t="s">
        <v>212</v>
      </c>
      <c r="I16">
        <v>70.45</v>
      </c>
    </row>
    <row r="17" spans="1:9" x14ac:dyDescent="0.35">
      <c r="A17" t="s">
        <v>23</v>
      </c>
      <c r="B17" t="s">
        <v>163</v>
      </c>
      <c r="C17">
        <v>696.94</v>
      </c>
      <c r="D17">
        <v>100</v>
      </c>
      <c r="E17">
        <v>800</v>
      </c>
      <c r="F17">
        <f t="shared" si="0"/>
        <v>0</v>
      </c>
      <c r="G17">
        <v>103.0599999999999</v>
      </c>
      <c r="H17" t="s">
        <v>213</v>
      </c>
      <c r="I17">
        <v>14.79</v>
      </c>
    </row>
    <row r="18" spans="1:9" x14ac:dyDescent="0.35">
      <c r="A18" t="s">
        <v>24</v>
      </c>
      <c r="B18" t="s">
        <v>155</v>
      </c>
      <c r="C18">
        <v>4064</v>
      </c>
      <c r="D18">
        <v>1</v>
      </c>
      <c r="E18">
        <v>4470</v>
      </c>
      <c r="F18">
        <f t="shared" si="0"/>
        <v>70</v>
      </c>
      <c r="G18">
        <v>406</v>
      </c>
      <c r="H18" t="s">
        <v>214</v>
      </c>
      <c r="I18">
        <v>9.99</v>
      </c>
    </row>
    <row r="19" spans="1:9" x14ac:dyDescent="0.35">
      <c r="A19" t="s">
        <v>25</v>
      </c>
      <c r="B19" t="s">
        <v>155</v>
      </c>
      <c r="C19">
        <v>1900</v>
      </c>
      <c r="D19">
        <v>10</v>
      </c>
      <c r="E19">
        <v>2000</v>
      </c>
      <c r="F19">
        <f t="shared" si="0"/>
        <v>0</v>
      </c>
      <c r="G19">
        <v>100</v>
      </c>
      <c r="H19" t="s">
        <v>215</v>
      </c>
      <c r="I19">
        <v>5.26</v>
      </c>
    </row>
    <row r="20" spans="1:9" x14ac:dyDescent="0.35">
      <c r="A20" t="s">
        <v>26</v>
      </c>
      <c r="B20" t="s">
        <v>155</v>
      </c>
      <c r="C20">
        <v>11843</v>
      </c>
      <c r="D20">
        <v>1</v>
      </c>
      <c r="E20">
        <v>13500</v>
      </c>
      <c r="F20">
        <f t="shared" si="0"/>
        <v>0</v>
      </c>
      <c r="G20">
        <v>1657</v>
      </c>
      <c r="H20" t="s">
        <v>216</v>
      </c>
      <c r="I20">
        <v>13.99</v>
      </c>
    </row>
    <row r="21" spans="1:9" x14ac:dyDescent="0.35">
      <c r="A21" t="s">
        <v>27</v>
      </c>
      <c r="B21" t="s">
        <v>155</v>
      </c>
      <c r="C21">
        <v>14682</v>
      </c>
      <c r="D21">
        <v>1</v>
      </c>
      <c r="E21">
        <v>18000</v>
      </c>
      <c r="F21">
        <f t="shared" si="0"/>
        <v>0</v>
      </c>
      <c r="G21">
        <v>3318</v>
      </c>
      <c r="H21" t="s">
        <v>217</v>
      </c>
      <c r="I21">
        <v>22.6</v>
      </c>
    </row>
    <row r="22" spans="1:9" x14ac:dyDescent="0.35">
      <c r="A22" t="s">
        <v>28</v>
      </c>
      <c r="B22" t="s">
        <v>155</v>
      </c>
      <c r="C22">
        <v>15400</v>
      </c>
      <c r="D22">
        <v>1</v>
      </c>
      <c r="E22">
        <v>18000</v>
      </c>
      <c r="F22">
        <f t="shared" si="0"/>
        <v>0</v>
      </c>
      <c r="G22">
        <v>2600</v>
      </c>
      <c r="H22" t="s">
        <v>218</v>
      </c>
      <c r="I22">
        <v>16.88</v>
      </c>
    </row>
    <row r="23" spans="1:9" x14ac:dyDescent="0.35">
      <c r="A23" t="s">
        <v>29</v>
      </c>
      <c r="B23" t="s">
        <v>155</v>
      </c>
      <c r="C23">
        <v>23898</v>
      </c>
      <c r="D23">
        <v>1</v>
      </c>
      <c r="E23">
        <v>26288</v>
      </c>
      <c r="F23">
        <f t="shared" si="0"/>
        <v>88</v>
      </c>
      <c r="G23">
        <v>2390</v>
      </c>
      <c r="H23" t="s">
        <v>219</v>
      </c>
      <c r="I23">
        <v>10</v>
      </c>
    </row>
    <row r="24" spans="1:9" x14ac:dyDescent="0.35">
      <c r="A24" t="s">
        <v>30</v>
      </c>
      <c r="B24" t="s">
        <v>155</v>
      </c>
      <c r="C24">
        <v>36013.949999999997</v>
      </c>
      <c r="D24">
        <v>1</v>
      </c>
      <c r="E24">
        <v>39615</v>
      </c>
      <c r="F24">
        <f t="shared" si="0"/>
        <v>15</v>
      </c>
      <c r="G24">
        <v>3601.0500000000029</v>
      </c>
      <c r="H24" t="s">
        <v>220</v>
      </c>
      <c r="I24">
        <v>10</v>
      </c>
    </row>
    <row r="25" spans="1:9" x14ac:dyDescent="0.35">
      <c r="A25" t="s">
        <v>31</v>
      </c>
      <c r="B25" t="s">
        <v>155</v>
      </c>
      <c r="C25">
        <v>25847</v>
      </c>
      <c r="D25">
        <v>1</v>
      </c>
      <c r="E25">
        <v>29000</v>
      </c>
      <c r="F25">
        <f t="shared" si="0"/>
        <v>0</v>
      </c>
      <c r="G25">
        <v>3153</v>
      </c>
      <c r="H25" t="s">
        <v>221</v>
      </c>
      <c r="I25">
        <v>12.2</v>
      </c>
    </row>
    <row r="26" spans="1:9" x14ac:dyDescent="0.35">
      <c r="A26" t="s">
        <v>32</v>
      </c>
      <c r="B26" t="s">
        <v>164</v>
      </c>
      <c r="C26">
        <v>2650</v>
      </c>
      <c r="D26">
        <v>10</v>
      </c>
      <c r="E26">
        <v>2800</v>
      </c>
      <c r="F26">
        <f t="shared" si="0"/>
        <v>0</v>
      </c>
      <c r="G26">
        <v>150</v>
      </c>
      <c r="H26" t="s">
        <v>222</v>
      </c>
      <c r="I26">
        <v>5.66</v>
      </c>
    </row>
    <row r="27" spans="1:9" x14ac:dyDescent="0.35">
      <c r="A27" t="s">
        <v>33</v>
      </c>
      <c r="B27" t="s">
        <v>155</v>
      </c>
      <c r="C27">
        <v>48626</v>
      </c>
      <c r="D27">
        <v>1</v>
      </c>
      <c r="E27">
        <v>58000</v>
      </c>
      <c r="F27">
        <f t="shared" si="0"/>
        <v>0</v>
      </c>
      <c r="G27">
        <v>9374</v>
      </c>
      <c r="H27" t="s">
        <v>223</v>
      </c>
      <c r="I27">
        <v>19.28</v>
      </c>
    </row>
    <row r="28" spans="1:9" x14ac:dyDescent="0.35">
      <c r="A28" t="s">
        <v>34</v>
      </c>
      <c r="B28" t="s">
        <v>155</v>
      </c>
      <c r="C28">
        <v>2500</v>
      </c>
      <c r="D28">
        <v>3</v>
      </c>
      <c r="E28">
        <v>3000</v>
      </c>
      <c r="F28">
        <f t="shared" si="0"/>
        <v>0</v>
      </c>
      <c r="G28">
        <v>500</v>
      </c>
      <c r="H28" t="s">
        <v>224</v>
      </c>
      <c r="I28">
        <v>20</v>
      </c>
    </row>
    <row r="29" spans="1:9" x14ac:dyDescent="0.35">
      <c r="A29" t="s">
        <v>35</v>
      </c>
      <c r="B29" t="s">
        <v>155</v>
      </c>
      <c r="C29">
        <v>2500</v>
      </c>
      <c r="D29">
        <v>3</v>
      </c>
      <c r="E29">
        <v>2750</v>
      </c>
      <c r="F29">
        <f t="shared" si="0"/>
        <v>50</v>
      </c>
      <c r="G29">
        <v>250</v>
      </c>
      <c r="H29" t="s">
        <v>225</v>
      </c>
      <c r="I29">
        <v>10</v>
      </c>
    </row>
    <row r="30" spans="1:9" x14ac:dyDescent="0.35">
      <c r="A30" t="s">
        <v>36</v>
      </c>
      <c r="B30" t="s">
        <v>155</v>
      </c>
      <c r="C30">
        <v>26099</v>
      </c>
      <c r="D30">
        <v>1</v>
      </c>
      <c r="E30">
        <v>32000</v>
      </c>
      <c r="F30">
        <f t="shared" si="0"/>
        <v>0</v>
      </c>
      <c r="G30">
        <v>5901</v>
      </c>
      <c r="H30" t="s">
        <v>226</v>
      </c>
      <c r="I30">
        <v>22.61</v>
      </c>
    </row>
    <row r="31" spans="1:9" x14ac:dyDescent="0.35">
      <c r="A31" t="s">
        <v>37</v>
      </c>
      <c r="B31" t="s">
        <v>155</v>
      </c>
      <c r="C31">
        <v>15611</v>
      </c>
      <c r="D31">
        <v>2</v>
      </c>
      <c r="E31">
        <v>18000</v>
      </c>
      <c r="F31">
        <f t="shared" si="0"/>
        <v>0</v>
      </c>
      <c r="G31">
        <v>2389</v>
      </c>
      <c r="H31" t="s">
        <v>227</v>
      </c>
      <c r="I31">
        <v>15.3</v>
      </c>
    </row>
    <row r="32" spans="1:9" x14ac:dyDescent="0.35">
      <c r="A32" t="s">
        <v>38</v>
      </c>
      <c r="B32" t="s">
        <v>165</v>
      </c>
      <c r="C32">
        <v>139.86000000000001</v>
      </c>
      <c r="D32">
        <v>100</v>
      </c>
      <c r="E32">
        <v>200</v>
      </c>
      <c r="F32">
        <f t="shared" si="0"/>
        <v>0</v>
      </c>
      <c r="G32">
        <v>60.139999999999993</v>
      </c>
      <c r="H32" t="s">
        <v>228</v>
      </c>
      <c r="I32">
        <v>43</v>
      </c>
    </row>
    <row r="33" spans="1:9" x14ac:dyDescent="0.35">
      <c r="A33" t="s">
        <v>39</v>
      </c>
      <c r="B33" t="s">
        <v>166</v>
      </c>
      <c r="C33">
        <v>109.89</v>
      </c>
      <c r="D33">
        <v>100</v>
      </c>
      <c r="E33">
        <v>200</v>
      </c>
      <c r="F33">
        <f t="shared" si="0"/>
        <v>0</v>
      </c>
      <c r="G33">
        <v>90.11</v>
      </c>
      <c r="H33" t="s">
        <v>229</v>
      </c>
      <c r="I33">
        <v>82</v>
      </c>
    </row>
    <row r="34" spans="1:9" x14ac:dyDescent="0.35">
      <c r="A34" t="s">
        <v>40</v>
      </c>
      <c r="B34" t="s">
        <v>167</v>
      </c>
      <c r="C34">
        <v>24360.06</v>
      </c>
      <c r="D34">
        <v>1</v>
      </c>
      <c r="E34">
        <v>30500</v>
      </c>
      <c r="F34">
        <f t="shared" si="0"/>
        <v>0</v>
      </c>
      <c r="G34">
        <v>6139.9399999999987</v>
      </c>
      <c r="H34" t="s">
        <v>230</v>
      </c>
      <c r="I34">
        <v>25.2</v>
      </c>
    </row>
    <row r="35" spans="1:9" x14ac:dyDescent="0.35">
      <c r="A35" t="s">
        <v>41</v>
      </c>
      <c r="B35" t="s">
        <v>168</v>
      </c>
      <c r="C35">
        <v>4306</v>
      </c>
      <c r="D35">
        <v>5</v>
      </c>
      <c r="E35">
        <v>5500</v>
      </c>
      <c r="F35">
        <f t="shared" si="0"/>
        <v>0</v>
      </c>
      <c r="G35">
        <v>1194</v>
      </c>
      <c r="H35" t="s">
        <v>231</v>
      </c>
      <c r="I35">
        <v>27.73</v>
      </c>
    </row>
    <row r="36" spans="1:9" x14ac:dyDescent="0.35">
      <c r="A36" t="s">
        <v>42</v>
      </c>
      <c r="B36" t="s">
        <v>162</v>
      </c>
      <c r="C36">
        <v>1037.8499999999999</v>
      </c>
      <c r="D36">
        <v>100</v>
      </c>
      <c r="E36">
        <v>1300</v>
      </c>
      <c r="F36">
        <f t="shared" si="0"/>
        <v>0</v>
      </c>
      <c r="G36">
        <v>262.15000000000009</v>
      </c>
      <c r="H36" t="s">
        <v>232</v>
      </c>
      <c r="I36">
        <v>25.26</v>
      </c>
    </row>
    <row r="37" spans="1:9" x14ac:dyDescent="0.35">
      <c r="A37" t="s">
        <v>43</v>
      </c>
      <c r="B37" t="s">
        <v>168</v>
      </c>
      <c r="C37">
        <v>12274.38</v>
      </c>
      <c r="D37">
        <v>5</v>
      </c>
      <c r="E37">
        <v>15000</v>
      </c>
      <c r="F37">
        <f t="shared" si="0"/>
        <v>0</v>
      </c>
      <c r="G37">
        <v>2725.6200000000008</v>
      </c>
      <c r="H37" t="s">
        <v>233</v>
      </c>
      <c r="I37">
        <v>22.21</v>
      </c>
    </row>
    <row r="38" spans="1:9" x14ac:dyDescent="0.35">
      <c r="A38" t="s">
        <v>44</v>
      </c>
      <c r="B38" t="s">
        <v>155</v>
      </c>
      <c r="C38">
        <v>24225.75</v>
      </c>
      <c r="D38">
        <v>1</v>
      </c>
      <c r="E38">
        <v>29000</v>
      </c>
      <c r="F38">
        <f t="shared" si="0"/>
        <v>0</v>
      </c>
      <c r="G38">
        <v>4774.25</v>
      </c>
      <c r="H38" t="s">
        <v>234</v>
      </c>
      <c r="I38">
        <v>19.71</v>
      </c>
    </row>
    <row r="39" spans="1:9" x14ac:dyDescent="0.35">
      <c r="A39" t="s">
        <v>45</v>
      </c>
      <c r="B39" t="s">
        <v>155</v>
      </c>
      <c r="C39">
        <v>35262.480000000003</v>
      </c>
      <c r="D39">
        <v>1</v>
      </c>
      <c r="E39">
        <v>44000</v>
      </c>
      <c r="F39">
        <f t="shared" si="0"/>
        <v>0</v>
      </c>
      <c r="G39">
        <v>8737.5199999999968</v>
      </c>
      <c r="H39" t="s">
        <v>235</v>
      </c>
      <c r="I39">
        <v>24.78</v>
      </c>
    </row>
    <row r="40" spans="1:9" x14ac:dyDescent="0.35">
      <c r="A40" t="s">
        <v>46</v>
      </c>
      <c r="B40" t="s">
        <v>168</v>
      </c>
      <c r="C40">
        <v>5792.64</v>
      </c>
      <c r="D40">
        <v>10</v>
      </c>
      <c r="E40">
        <v>7000</v>
      </c>
      <c r="F40">
        <f t="shared" si="0"/>
        <v>0</v>
      </c>
      <c r="G40">
        <v>1207.3599999999999</v>
      </c>
      <c r="H40" t="s">
        <v>236</v>
      </c>
      <c r="I40">
        <v>20.84</v>
      </c>
    </row>
    <row r="41" spans="1:9" x14ac:dyDescent="0.35">
      <c r="A41" t="s">
        <v>47</v>
      </c>
      <c r="B41" t="s">
        <v>167</v>
      </c>
      <c r="C41">
        <v>37550.19</v>
      </c>
      <c r="D41">
        <v>1</v>
      </c>
      <c r="E41">
        <v>44000</v>
      </c>
      <c r="F41">
        <f t="shared" si="0"/>
        <v>0</v>
      </c>
      <c r="G41">
        <v>6449.8099999999977</v>
      </c>
      <c r="H41" t="s">
        <v>237</v>
      </c>
      <c r="I41">
        <v>17.18</v>
      </c>
    </row>
    <row r="42" spans="1:9" x14ac:dyDescent="0.35">
      <c r="A42" t="s">
        <v>48</v>
      </c>
      <c r="B42" t="s">
        <v>168</v>
      </c>
      <c r="C42">
        <v>4952.82</v>
      </c>
      <c r="D42">
        <v>10</v>
      </c>
      <c r="E42">
        <v>6000</v>
      </c>
      <c r="F42">
        <f t="shared" si="0"/>
        <v>0</v>
      </c>
      <c r="G42">
        <v>1047.18</v>
      </c>
      <c r="H42" t="s">
        <v>238</v>
      </c>
      <c r="I42">
        <v>21.14</v>
      </c>
    </row>
    <row r="43" spans="1:9" x14ac:dyDescent="0.35">
      <c r="A43" t="s">
        <v>49</v>
      </c>
      <c r="B43" t="s">
        <v>161</v>
      </c>
      <c r="C43">
        <v>4032</v>
      </c>
      <c r="D43">
        <v>1</v>
      </c>
      <c r="E43">
        <v>5000</v>
      </c>
      <c r="F43">
        <f t="shared" si="0"/>
        <v>0</v>
      </c>
      <c r="G43">
        <v>968</v>
      </c>
      <c r="H43" t="s">
        <v>239</v>
      </c>
      <c r="I43">
        <v>24.01</v>
      </c>
    </row>
    <row r="44" spans="1:9" x14ac:dyDescent="0.35">
      <c r="A44" t="s">
        <v>50</v>
      </c>
      <c r="B44" t="s">
        <v>162</v>
      </c>
      <c r="C44">
        <v>418.5</v>
      </c>
      <c r="D44">
        <v>100</v>
      </c>
      <c r="E44">
        <v>600</v>
      </c>
      <c r="F44">
        <f t="shared" si="0"/>
        <v>0</v>
      </c>
      <c r="G44">
        <v>181.5</v>
      </c>
      <c r="H44" t="s">
        <v>240</v>
      </c>
      <c r="I44">
        <v>43.37</v>
      </c>
    </row>
    <row r="45" spans="1:9" x14ac:dyDescent="0.35">
      <c r="A45" t="s">
        <v>51</v>
      </c>
      <c r="B45" t="s">
        <v>169</v>
      </c>
      <c r="C45">
        <v>638.1</v>
      </c>
      <c r="D45">
        <v>30</v>
      </c>
      <c r="E45">
        <v>800</v>
      </c>
      <c r="F45">
        <f t="shared" si="0"/>
        <v>0</v>
      </c>
      <c r="G45">
        <v>161.9</v>
      </c>
      <c r="H45" t="s">
        <v>241</v>
      </c>
      <c r="I45">
        <v>25.37</v>
      </c>
    </row>
    <row r="46" spans="1:9" x14ac:dyDescent="0.35">
      <c r="A46" t="s">
        <v>52</v>
      </c>
      <c r="B46" t="s">
        <v>170</v>
      </c>
      <c r="C46">
        <v>4750</v>
      </c>
      <c r="D46">
        <v>8</v>
      </c>
      <c r="E46">
        <v>5000</v>
      </c>
      <c r="F46">
        <f t="shared" si="0"/>
        <v>0</v>
      </c>
      <c r="G46">
        <v>250</v>
      </c>
      <c r="H46" t="s">
        <v>242</v>
      </c>
      <c r="I46">
        <v>5.26</v>
      </c>
    </row>
    <row r="47" spans="1:9" x14ac:dyDescent="0.35">
      <c r="A47" t="s">
        <v>53</v>
      </c>
      <c r="B47" t="s">
        <v>161</v>
      </c>
      <c r="C47">
        <v>3360</v>
      </c>
      <c r="D47">
        <v>1</v>
      </c>
      <c r="E47">
        <v>5000</v>
      </c>
      <c r="F47">
        <f t="shared" si="0"/>
        <v>0</v>
      </c>
      <c r="G47">
        <v>1640</v>
      </c>
      <c r="H47" t="s">
        <v>243</v>
      </c>
      <c r="I47">
        <v>48.81</v>
      </c>
    </row>
    <row r="48" spans="1:9" x14ac:dyDescent="0.35">
      <c r="A48" t="s">
        <v>54</v>
      </c>
      <c r="B48" t="s">
        <v>171</v>
      </c>
      <c r="C48">
        <v>62.45</v>
      </c>
      <c r="D48">
        <v>100</v>
      </c>
      <c r="E48">
        <v>100</v>
      </c>
      <c r="F48">
        <f t="shared" si="0"/>
        <v>0</v>
      </c>
      <c r="G48">
        <v>37.549999999999997</v>
      </c>
      <c r="H48" t="s">
        <v>244</v>
      </c>
      <c r="I48">
        <v>60.13</v>
      </c>
    </row>
    <row r="49" spans="1:9" x14ac:dyDescent="0.35">
      <c r="A49" t="s">
        <v>55</v>
      </c>
      <c r="B49" t="s">
        <v>172</v>
      </c>
      <c r="C49">
        <v>29000</v>
      </c>
      <c r="D49">
        <v>1</v>
      </c>
      <c r="E49">
        <v>35000</v>
      </c>
      <c r="F49">
        <f t="shared" si="0"/>
        <v>0</v>
      </c>
      <c r="G49">
        <v>6000</v>
      </c>
      <c r="H49" t="s">
        <v>245</v>
      </c>
      <c r="I49">
        <v>20.69</v>
      </c>
    </row>
    <row r="50" spans="1:9" x14ac:dyDescent="0.35">
      <c r="A50" t="s">
        <v>56</v>
      </c>
      <c r="B50" t="s">
        <v>155</v>
      </c>
      <c r="C50">
        <v>1125</v>
      </c>
      <c r="D50">
        <v>12</v>
      </c>
      <c r="E50">
        <v>1250</v>
      </c>
      <c r="F50">
        <f t="shared" si="0"/>
        <v>50</v>
      </c>
      <c r="G50">
        <v>125</v>
      </c>
      <c r="H50" t="s">
        <v>246</v>
      </c>
      <c r="I50">
        <v>11.11</v>
      </c>
    </row>
    <row r="51" spans="1:9" x14ac:dyDescent="0.35">
      <c r="A51" t="s">
        <v>57</v>
      </c>
      <c r="B51" t="s">
        <v>173</v>
      </c>
      <c r="C51">
        <v>293.43</v>
      </c>
      <c r="D51">
        <v>30</v>
      </c>
      <c r="E51">
        <v>400</v>
      </c>
      <c r="F51">
        <f t="shared" si="0"/>
        <v>0</v>
      </c>
      <c r="G51">
        <v>106.57</v>
      </c>
      <c r="H51" t="s">
        <v>247</v>
      </c>
      <c r="I51">
        <v>36.32</v>
      </c>
    </row>
    <row r="52" spans="1:9" x14ac:dyDescent="0.35">
      <c r="A52" t="s">
        <v>58</v>
      </c>
      <c r="B52" t="s">
        <v>155</v>
      </c>
      <c r="C52">
        <v>2068</v>
      </c>
      <c r="D52">
        <v>25</v>
      </c>
      <c r="E52">
        <v>2275</v>
      </c>
      <c r="F52">
        <f t="shared" si="0"/>
        <v>75</v>
      </c>
      <c r="G52">
        <v>207</v>
      </c>
      <c r="H52" t="s">
        <v>248</v>
      </c>
      <c r="I52">
        <v>10.01</v>
      </c>
    </row>
    <row r="53" spans="1:9" x14ac:dyDescent="0.35">
      <c r="A53" t="s">
        <v>59</v>
      </c>
      <c r="B53" t="s">
        <v>155</v>
      </c>
      <c r="C53">
        <v>2697</v>
      </c>
      <c r="D53">
        <v>25</v>
      </c>
      <c r="E53">
        <v>3000</v>
      </c>
      <c r="F53">
        <f t="shared" si="0"/>
        <v>0</v>
      </c>
      <c r="G53">
        <v>303</v>
      </c>
      <c r="H53" t="s">
        <v>249</v>
      </c>
      <c r="I53">
        <v>11.23</v>
      </c>
    </row>
    <row r="54" spans="1:9" x14ac:dyDescent="0.35">
      <c r="A54" t="s">
        <v>60</v>
      </c>
      <c r="B54" t="s">
        <v>174</v>
      </c>
      <c r="C54">
        <v>204.99</v>
      </c>
      <c r="D54">
        <v>200</v>
      </c>
      <c r="E54">
        <v>250</v>
      </c>
      <c r="F54">
        <f t="shared" si="0"/>
        <v>50</v>
      </c>
      <c r="G54">
        <v>45.009999999999991</v>
      </c>
      <c r="H54" t="s">
        <v>250</v>
      </c>
      <c r="I54">
        <v>21.96</v>
      </c>
    </row>
    <row r="55" spans="1:9" x14ac:dyDescent="0.35">
      <c r="A55" t="s">
        <v>61</v>
      </c>
      <c r="B55" t="s">
        <v>155</v>
      </c>
      <c r="C55">
        <v>282.68</v>
      </c>
      <c r="D55">
        <v>100</v>
      </c>
      <c r="E55">
        <v>400</v>
      </c>
      <c r="F55">
        <f t="shared" si="0"/>
        <v>0</v>
      </c>
      <c r="G55">
        <v>117.32</v>
      </c>
      <c r="H55" t="s">
        <v>251</v>
      </c>
      <c r="I55">
        <v>41.5</v>
      </c>
    </row>
    <row r="56" spans="1:9" x14ac:dyDescent="0.35">
      <c r="A56" t="s">
        <v>62</v>
      </c>
      <c r="B56" t="s">
        <v>175</v>
      </c>
      <c r="C56">
        <v>142.66</v>
      </c>
      <c r="D56">
        <v>100</v>
      </c>
      <c r="E56">
        <v>200</v>
      </c>
      <c r="F56">
        <f t="shared" si="0"/>
        <v>0</v>
      </c>
      <c r="G56">
        <v>57.34</v>
      </c>
      <c r="H56" t="s">
        <v>252</v>
      </c>
      <c r="I56">
        <v>40.19</v>
      </c>
    </row>
    <row r="57" spans="1:9" x14ac:dyDescent="0.35">
      <c r="A57" t="s">
        <v>63</v>
      </c>
      <c r="B57" t="s">
        <v>176</v>
      </c>
      <c r="C57">
        <v>235.2</v>
      </c>
      <c r="D57">
        <v>100</v>
      </c>
      <c r="E57">
        <v>300</v>
      </c>
      <c r="F57">
        <f t="shared" si="0"/>
        <v>0</v>
      </c>
      <c r="G57">
        <v>64.800000000000011</v>
      </c>
      <c r="H57" t="s">
        <v>253</v>
      </c>
      <c r="I57">
        <v>27.55</v>
      </c>
    </row>
    <row r="58" spans="1:9" x14ac:dyDescent="0.35">
      <c r="A58" t="s">
        <v>64</v>
      </c>
      <c r="B58" t="s">
        <v>159</v>
      </c>
      <c r="C58">
        <v>74.95</v>
      </c>
      <c r="D58">
        <v>100</v>
      </c>
      <c r="E58">
        <v>100</v>
      </c>
      <c r="F58">
        <f t="shared" si="0"/>
        <v>0</v>
      </c>
      <c r="G58">
        <v>25.05</v>
      </c>
      <c r="H58" t="s">
        <v>254</v>
      </c>
      <c r="I58">
        <v>33.42</v>
      </c>
    </row>
    <row r="59" spans="1:9" x14ac:dyDescent="0.35">
      <c r="A59" t="s">
        <v>65</v>
      </c>
      <c r="B59" t="s">
        <v>161</v>
      </c>
      <c r="C59">
        <v>4796</v>
      </c>
      <c r="D59">
        <v>1</v>
      </c>
      <c r="E59">
        <v>6000</v>
      </c>
      <c r="F59">
        <f t="shared" si="0"/>
        <v>0</v>
      </c>
      <c r="G59">
        <v>1204</v>
      </c>
      <c r="H59" t="s">
        <v>255</v>
      </c>
      <c r="I59">
        <v>25.1</v>
      </c>
    </row>
    <row r="60" spans="1:9" x14ac:dyDescent="0.35">
      <c r="A60" t="s">
        <v>66</v>
      </c>
      <c r="B60" t="s">
        <v>155</v>
      </c>
      <c r="C60">
        <v>10000</v>
      </c>
      <c r="D60">
        <v>2</v>
      </c>
      <c r="E60">
        <v>10500</v>
      </c>
      <c r="F60">
        <f t="shared" si="0"/>
        <v>0</v>
      </c>
      <c r="G60">
        <v>500</v>
      </c>
      <c r="H60" t="s">
        <v>256</v>
      </c>
      <c r="I60">
        <v>5</v>
      </c>
    </row>
    <row r="61" spans="1:9" x14ac:dyDescent="0.35">
      <c r="A61" t="s">
        <v>67</v>
      </c>
      <c r="B61" t="s">
        <v>155</v>
      </c>
      <c r="C61">
        <v>1375</v>
      </c>
      <c r="D61">
        <v>8</v>
      </c>
      <c r="E61">
        <v>1750</v>
      </c>
      <c r="F61">
        <f t="shared" si="0"/>
        <v>50</v>
      </c>
      <c r="G61">
        <v>375</v>
      </c>
      <c r="H61" t="s">
        <v>257</v>
      </c>
      <c r="I61">
        <v>27.27</v>
      </c>
    </row>
    <row r="62" spans="1:9" x14ac:dyDescent="0.35">
      <c r="A62" t="s">
        <v>68</v>
      </c>
      <c r="B62" t="s">
        <v>155</v>
      </c>
      <c r="C62">
        <v>1250</v>
      </c>
      <c r="D62">
        <v>8</v>
      </c>
      <c r="E62">
        <v>1500</v>
      </c>
      <c r="F62">
        <f t="shared" si="0"/>
        <v>0</v>
      </c>
      <c r="G62">
        <v>250</v>
      </c>
      <c r="H62" t="s">
        <v>258</v>
      </c>
      <c r="I62">
        <v>20</v>
      </c>
    </row>
    <row r="63" spans="1:9" x14ac:dyDescent="0.35">
      <c r="A63" t="s">
        <v>69</v>
      </c>
      <c r="B63" t="s">
        <v>155</v>
      </c>
      <c r="C63">
        <v>14352</v>
      </c>
      <c r="D63">
        <v>1</v>
      </c>
      <c r="E63">
        <v>18000</v>
      </c>
      <c r="F63">
        <f t="shared" si="0"/>
        <v>0</v>
      </c>
      <c r="G63">
        <v>3648</v>
      </c>
      <c r="H63" t="s">
        <v>259</v>
      </c>
      <c r="I63">
        <v>25.42</v>
      </c>
    </row>
    <row r="64" spans="1:9" x14ac:dyDescent="0.35">
      <c r="A64" t="s">
        <v>70</v>
      </c>
      <c r="B64" t="s">
        <v>177</v>
      </c>
      <c r="C64">
        <v>10668</v>
      </c>
      <c r="D64">
        <v>1</v>
      </c>
      <c r="E64">
        <v>13500</v>
      </c>
      <c r="F64">
        <f t="shared" si="0"/>
        <v>0</v>
      </c>
      <c r="G64">
        <v>2832</v>
      </c>
      <c r="H64" t="s">
        <v>260</v>
      </c>
      <c r="I64">
        <v>26.55</v>
      </c>
    </row>
    <row r="65" spans="1:9" x14ac:dyDescent="0.35">
      <c r="A65" t="s">
        <v>71</v>
      </c>
      <c r="B65" t="s">
        <v>155</v>
      </c>
      <c r="C65">
        <v>10565</v>
      </c>
      <c r="D65">
        <v>1</v>
      </c>
      <c r="E65">
        <v>13000</v>
      </c>
      <c r="F65">
        <f t="shared" si="0"/>
        <v>0</v>
      </c>
      <c r="G65">
        <v>2435</v>
      </c>
      <c r="H65" t="s">
        <v>261</v>
      </c>
      <c r="I65">
        <v>23.05</v>
      </c>
    </row>
    <row r="66" spans="1:9" x14ac:dyDescent="0.35">
      <c r="A66" t="s">
        <v>72</v>
      </c>
      <c r="B66" t="s">
        <v>167</v>
      </c>
      <c r="C66">
        <v>31089.99</v>
      </c>
      <c r="D66">
        <v>1</v>
      </c>
      <c r="E66">
        <v>37000</v>
      </c>
      <c r="F66">
        <f t="shared" si="0"/>
        <v>0</v>
      </c>
      <c r="G66">
        <v>5910.0099999999984</v>
      </c>
      <c r="H66" t="s">
        <v>262</v>
      </c>
      <c r="I66">
        <v>19.010000000000002</v>
      </c>
    </row>
    <row r="67" spans="1:9" x14ac:dyDescent="0.35">
      <c r="A67" t="s">
        <v>73</v>
      </c>
      <c r="B67" t="s">
        <v>168</v>
      </c>
      <c r="C67">
        <v>4979</v>
      </c>
      <c r="D67">
        <v>10</v>
      </c>
      <c r="E67">
        <v>6000</v>
      </c>
      <c r="F67">
        <f t="shared" ref="F67:F130" si="1">MOD(E67,100)</f>
        <v>0</v>
      </c>
      <c r="G67">
        <v>1021</v>
      </c>
      <c r="H67" t="s">
        <v>263</v>
      </c>
      <c r="I67">
        <v>20.51</v>
      </c>
    </row>
    <row r="68" spans="1:9" x14ac:dyDescent="0.35">
      <c r="A68" t="s">
        <v>74</v>
      </c>
      <c r="B68" t="s">
        <v>168</v>
      </c>
      <c r="C68">
        <v>7510</v>
      </c>
      <c r="D68">
        <v>5</v>
      </c>
      <c r="E68">
        <v>9000</v>
      </c>
      <c r="F68">
        <f t="shared" si="1"/>
        <v>0</v>
      </c>
      <c r="G68">
        <v>1490</v>
      </c>
      <c r="H68" t="s">
        <v>264</v>
      </c>
      <c r="I68">
        <v>19.84</v>
      </c>
    </row>
    <row r="69" spans="1:9" x14ac:dyDescent="0.35">
      <c r="A69" t="s">
        <v>75</v>
      </c>
      <c r="B69" t="s">
        <v>155</v>
      </c>
      <c r="C69">
        <v>30600</v>
      </c>
      <c r="D69">
        <v>1</v>
      </c>
      <c r="E69">
        <v>32000</v>
      </c>
      <c r="F69">
        <f t="shared" si="1"/>
        <v>0</v>
      </c>
      <c r="G69">
        <v>1400</v>
      </c>
      <c r="H69" t="s">
        <v>265</v>
      </c>
      <c r="I69">
        <v>4.58</v>
      </c>
    </row>
    <row r="70" spans="1:9" x14ac:dyDescent="0.35">
      <c r="A70" t="s">
        <v>76</v>
      </c>
      <c r="B70" t="s">
        <v>178</v>
      </c>
      <c r="C70">
        <v>11694</v>
      </c>
      <c r="D70">
        <v>3</v>
      </c>
      <c r="E70">
        <v>14000</v>
      </c>
      <c r="F70">
        <f t="shared" si="1"/>
        <v>0</v>
      </c>
      <c r="G70">
        <v>2306</v>
      </c>
      <c r="H70" t="s">
        <v>266</v>
      </c>
      <c r="I70">
        <v>19.72</v>
      </c>
    </row>
    <row r="71" spans="1:9" x14ac:dyDescent="0.35">
      <c r="A71" t="s">
        <v>77</v>
      </c>
      <c r="B71" t="s">
        <v>179</v>
      </c>
      <c r="C71">
        <v>6006</v>
      </c>
      <c r="D71">
        <v>3</v>
      </c>
      <c r="E71">
        <v>7000</v>
      </c>
      <c r="F71">
        <f t="shared" si="1"/>
        <v>0</v>
      </c>
      <c r="G71">
        <v>994</v>
      </c>
      <c r="H71" t="s">
        <v>267</v>
      </c>
      <c r="I71">
        <v>16.55</v>
      </c>
    </row>
    <row r="72" spans="1:9" x14ac:dyDescent="0.35">
      <c r="A72" t="s">
        <v>78</v>
      </c>
      <c r="B72" t="s">
        <v>180</v>
      </c>
      <c r="C72">
        <v>2100</v>
      </c>
      <c r="D72">
        <v>20</v>
      </c>
      <c r="E72">
        <v>2200</v>
      </c>
      <c r="F72">
        <f t="shared" si="1"/>
        <v>0</v>
      </c>
      <c r="G72">
        <v>100</v>
      </c>
      <c r="H72" t="s">
        <v>268</v>
      </c>
      <c r="I72">
        <v>4.76</v>
      </c>
    </row>
    <row r="73" spans="1:9" x14ac:dyDescent="0.35">
      <c r="A73" t="s">
        <v>78</v>
      </c>
      <c r="B73" t="s">
        <v>181</v>
      </c>
      <c r="C73">
        <v>3900</v>
      </c>
      <c r="D73">
        <v>20</v>
      </c>
      <c r="E73">
        <v>4100</v>
      </c>
      <c r="F73">
        <f t="shared" si="1"/>
        <v>0</v>
      </c>
      <c r="G73">
        <v>200</v>
      </c>
      <c r="H73" t="s">
        <v>269</v>
      </c>
      <c r="I73">
        <v>5.13</v>
      </c>
    </row>
    <row r="74" spans="1:9" x14ac:dyDescent="0.35">
      <c r="A74" t="s">
        <v>79</v>
      </c>
      <c r="B74" t="s">
        <v>182</v>
      </c>
      <c r="C74">
        <v>78.400000000000006</v>
      </c>
      <c r="D74">
        <v>100</v>
      </c>
      <c r="E74">
        <v>100</v>
      </c>
      <c r="F74">
        <f t="shared" si="1"/>
        <v>0</v>
      </c>
      <c r="G74">
        <v>21.599999999999991</v>
      </c>
      <c r="H74" t="s">
        <v>270</v>
      </c>
      <c r="I74">
        <v>27.55</v>
      </c>
    </row>
    <row r="75" spans="1:9" x14ac:dyDescent="0.35">
      <c r="A75" t="s">
        <v>80</v>
      </c>
      <c r="B75" t="s">
        <v>155</v>
      </c>
      <c r="C75">
        <v>21000</v>
      </c>
      <c r="D75">
        <v>2</v>
      </c>
      <c r="E75">
        <v>22000</v>
      </c>
      <c r="F75">
        <f t="shared" si="1"/>
        <v>0</v>
      </c>
      <c r="G75">
        <v>1000</v>
      </c>
      <c r="H75" t="s">
        <v>271</v>
      </c>
      <c r="I75">
        <v>4.76</v>
      </c>
    </row>
    <row r="76" spans="1:9" x14ac:dyDescent="0.35">
      <c r="A76" t="s">
        <v>81</v>
      </c>
      <c r="B76" t="s">
        <v>183</v>
      </c>
      <c r="C76">
        <v>247.8</v>
      </c>
      <c r="D76">
        <v>100</v>
      </c>
      <c r="E76">
        <v>300</v>
      </c>
      <c r="F76">
        <f t="shared" si="1"/>
        <v>0</v>
      </c>
      <c r="G76">
        <v>52.199999999999989</v>
      </c>
      <c r="H76" t="s">
        <v>272</v>
      </c>
      <c r="I76">
        <v>21.07</v>
      </c>
    </row>
    <row r="77" spans="1:9" x14ac:dyDescent="0.35">
      <c r="A77" t="s">
        <v>82</v>
      </c>
      <c r="B77" t="s">
        <v>181</v>
      </c>
      <c r="C77">
        <v>1344</v>
      </c>
      <c r="D77">
        <v>30</v>
      </c>
      <c r="E77">
        <v>1600</v>
      </c>
      <c r="F77">
        <f t="shared" si="1"/>
        <v>0</v>
      </c>
      <c r="G77">
        <v>256</v>
      </c>
      <c r="H77" t="s">
        <v>273</v>
      </c>
      <c r="I77">
        <v>19.05</v>
      </c>
    </row>
    <row r="78" spans="1:9" x14ac:dyDescent="0.35">
      <c r="A78" t="s">
        <v>83</v>
      </c>
      <c r="B78" t="s">
        <v>167</v>
      </c>
      <c r="C78">
        <v>25033.83</v>
      </c>
      <c r="D78">
        <v>1</v>
      </c>
      <c r="E78">
        <v>31000</v>
      </c>
      <c r="F78">
        <f t="shared" si="1"/>
        <v>0</v>
      </c>
      <c r="G78">
        <v>5966.1699999999983</v>
      </c>
      <c r="H78" t="s">
        <v>274</v>
      </c>
      <c r="I78">
        <v>23.83</v>
      </c>
    </row>
    <row r="79" spans="1:9" x14ac:dyDescent="0.35">
      <c r="A79" t="s">
        <v>84</v>
      </c>
      <c r="B79" t="s">
        <v>184</v>
      </c>
      <c r="C79">
        <v>2500</v>
      </c>
      <c r="D79">
        <v>10</v>
      </c>
      <c r="E79">
        <v>3000</v>
      </c>
      <c r="F79">
        <f t="shared" si="1"/>
        <v>0</v>
      </c>
      <c r="G79">
        <v>500</v>
      </c>
      <c r="H79" t="s">
        <v>275</v>
      </c>
      <c r="I79">
        <v>20</v>
      </c>
    </row>
    <row r="80" spans="1:9" x14ac:dyDescent="0.35">
      <c r="A80" t="s">
        <v>85</v>
      </c>
      <c r="B80" t="s">
        <v>185</v>
      </c>
      <c r="C80">
        <v>194.4</v>
      </c>
      <c r="D80">
        <v>100</v>
      </c>
      <c r="E80">
        <v>300</v>
      </c>
      <c r="F80">
        <f t="shared" si="1"/>
        <v>0</v>
      </c>
      <c r="G80">
        <v>105.6</v>
      </c>
      <c r="H80" t="s">
        <v>276</v>
      </c>
      <c r="I80">
        <v>54.32</v>
      </c>
    </row>
    <row r="81" spans="1:9" x14ac:dyDescent="0.35">
      <c r="A81" t="s">
        <v>86</v>
      </c>
      <c r="B81" t="s">
        <v>186</v>
      </c>
      <c r="C81">
        <v>302.39999999999998</v>
      </c>
      <c r="D81">
        <v>100</v>
      </c>
      <c r="E81">
        <v>400</v>
      </c>
      <c r="F81">
        <f t="shared" si="1"/>
        <v>0</v>
      </c>
      <c r="G81">
        <v>97.600000000000023</v>
      </c>
      <c r="H81" t="s">
        <v>277</v>
      </c>
      <c r="I81">
        <v>32.28</v>
      </c>
    </row>
    <row r="82" spans="1:9" x14ac:dyDescent="0.35">
      <c r="A82" t="s">
        <v>87</v>
      </c>
      <c r="B82" t="s">
        <v>187</v>
      </c>
      <c r="C82">
        <v>205.2</v>
      </c>
      <c r="D82">
        <v>100</v>
      </c>
      <c r="E82">
        <v>300</v>
      </c>
      <c r="F82">
        <f t="shared" si="1"/>
        <v>0</v>
      </c>
      <c r="G82">
        <v>94.800000000000011</v>
      </c>
      <c r="H82" t="s">
        <v>278</v>
      </c>
      <c r="I82">
        <v>46.2</v>
      </c>
    </row>
    <row r="83" spans="1:9" x14ac:dyDescent="0.35">
      <c r="A83" t="s">
        <v>88</v>
      </c>
      <c r="B83" t="s">
        <v>188</v>
      </c>
      <c r="C83">
        <v>291.2</v>
      </c>
      <c r="D83">
        <v>100</v>
      </c>
      <c r="E83">
        <v>400</v>
      </c>
      <c r="F83">
        <f t="shared" si="1"/>
        <v>0</v>
      </c>
      <c r="G83">
        <v>108.8</v>
      </c>
      <c r="H83" t="s">
        <v>279</v>
      </c>
      <c r="I83">
        <v>37.36</v>
      </c>
    </row>
    <row r="84" spans="1:9" x14ac:dyDescent="0.35">
      <c r="A84" t="s">
        <v>89</v>
      </c>
      <c r="B84" t="s">
        <v>189</v>
      </c>
      <c r="C84">
        <v>18382.71</v>
      </c>
      <c r="D84">
        <v>2</v>
      </c>
      <c r="E84">
        <v>21000</v>
      </c>
      <c r="F84">
        <f t="shared" si="1"/>
        <v>0</v>
      </c>
      <c r="G84">
        <v>2617.2900000000009</v>
      </c>
      <c r="H84" t="s">
        <v>280</v>
      </c>
      <c r="I84">
        <v>14.24</v>
      </c>
    </row>
    <row r="85" spans="1:9" x14ac:dyDescent="0.35">
      <c r="A85" t="s">
        <v>90</v>
      </c>
      <c r="B85" t="s">
        <v>189</v>
      </c>
      <c r="C85">
        <v>17508.03</v>
      </c>
      <c r="D85">
        <v>2</v>
      </c>
      <c r="E85">
        <v>20000</v>
      </c>
      <c r="F85">
        <f t="shared" si="1"/>
        <v>0</v>
      </c>
      <c r="G85">
        <v>2491.9700000000012</v>
      </c>
      <c r="H85" t="s">
        <v>281</v>
      </c>
      <c r="I85">
        <v>14.23</v>
      </c>
    </row>
    <row r="86" spans="1:9" x14ac:dyDescent="0.35">
      <c r="A86" t="s">
        <v>91</v>
      </c>
      <c r="B86" t="s">
        <v>155</v>
      </c>
      <c r="C86">
        <v>20899.080000000002</v>
      </c>
      <c r="D86">
        <v>2</v>
      </c>
      <c r="E86">
        <v>24000</v>
      </c>
      <c r="F86">
        <f t="shared" si="1"/>
        <v>0</v>
      </c>
      <c r="G86">
        <v>3100.9199999999978</v>
      </c>
      <c r="H86" t="s">
        <v>282</v>
      </c>
      <c r="I86">
        <v>14.84</v>
      </c>
    </row>
    <row r="87" spans="1:9" x14ac:dyDescent="0.35">
      <c r="A87" t="s">
        <v>92</v>
      </c>
      <c r="B87" t="s">
        <v>155</v>
      </c>
      <c r="C87">
        <v>15291.36</v>
      </c>
      <c r="D87">
        <v>2</v>
      </c>
      <c r="E87">
        <v>16820</v>
      </c>
      <c r="F87">
        <f t="shared" si="1"/>
        <v>20</v>
      </c>
      <c r="G87">
        <v>1528.639999999999</v>
      </c>
      <c r="H87" t="s">
        <v>283</v>
      </c>
      <c r="I87">
        <v>10</v>
      </c>
    </row>
    <row r="88" spans="1:9" x14ac:dyDescent="0.35">
      <c r="A88" t="s">
        <v>93</v>
      </c>
      <c r="B88" t="s">
        <v>155</v>
      </c>
      <c r="C88">
        <v>3700</v>
      </c>
      <c r="D88">
        <v>10</v>
      </c>
      <c r="E88">
        <v>3900</v>
      </c>
      <c r="F88">
        <f t="shared" si="1"/>
        <v>0</v>
      </c>
      <c r="G88">
        <v>200</v>
      </c>
      <c r="H88" t="s">
        <v>284</v>
      </c>
      <c r="I88">
        <v>5.41</v>
      </c>
    </row>
    <row r="89" spans="1:9" x14ac:dyDescent="0.35">
      <c r="A89" t="s">
        <v>94</v>
      </c>
      <c r="B89" t="s">
        <v>187</v>
      </c>
      <c r="C89">
        <v>9750</v>
      </c>
      <c r="D89">
        <v>5</v>
      </c>
      <c r="E89">
        <v>10000</v>
      </c>
      <c r="F89">
        <f t="shared" si="1"/>
        <v>0</v>
      </c>
      <c r="G89">
        <v>250</v>
      </c>
      <c r="H89" t="s">
        <v>285</v>
      </c>
      <c r="I89">
        <v>2.56</v>
      </c>
    </row>
    <row r="90" spans="1:9" x14ac:dyDescent="0.35">
      <c r="A90" t="s">
        <v>95</v>
      </c>
      <c r="B90" t="s">
        <v>155</v>
      </c>
      <c r="C90">
        <v>17000</v>
      </c>
      <c r="D90">
        <v>1</v>
      </c>
      <c r="E90">
        <v>18000</v>
      </c>
      <c r="F90">
        <f t="shared" si="1"/>
        <v>0</v>
      </c>
      <c r="G90">
        <v>1000</v>
      </c>
      <c r="H90" t="s">
        <v>286</v>
      </c>
      <c r="I90">
        <v>5.88</v>
      </c>
    </row>
    <row r="91" spans="1:9" x14ac:dyDescent="0.35">
      <c r="A91" t="s">
        <v>96</v>
      </c>
      <c r="B91" t="s">
        <v>155</v>
      </c>
      <c r="C91">
        <v>2805.19</v>
      </c>
      <c r="D91">
        <v>50</v>
      </c>
      <c r="E91">
        <v>3500</v>
      </c>
      <c r="F91">
        <f t="shared" si="1"/>
        <v>0</v>
      </c>
      <c r="G91">
        <v>694.81</v>
      </c>
      <c r="H91" t="s">
        <v>287</v>
      </c>
      <c r="I91">
        <v>24.77</v>
      </c>
    </row>
    <row r="92" spans="1:9" x14ac:dyDescent="0.35">
      <c r="A92" t="s">
        <v>97</v>
      </c>
      <c r="B92" t="s">
        <v>155</v>
      </c>
      <c r="C92">
        <v>69930</v>
      </c>
      <c r="D92">
        <v>1</v>
      </c>
      <c r="E92">
        <v>84000</v>
      </c>
      <c r="F92">
        <f t="shared" si="1"/>
        <v>0</v>
      </c>
      <c r="G92">
        <v>14070</v>
      </c>
      <c r="H92" t="s">
        <v>288</v>
      </c>
      <c r="I92">
        <v>20.12</v>
      </c>
    </row>
    <row r="93" spans="1:9" x14ac:dyDescent="0.35">
      <c r="A93" t="s">
        <v>98</v>
      </c>
      <c r="B93" t="s">
        <v>155</v>
      </c>
      <c r="C93">
        <v>10500</v>
      </c>
      <c r="D93">
        <v>2</v>
      </c>
      <c r="E93">
        <v>11000</v>
      </c>
      <c r="F93">
        <f t="shared" si="1"/>
        <v>0</v>
      </c>
      <c r="G93">
        <v>500</v>
      </c>
      <c r="H93" t="s">
        <v>289</v>
      </c>
      <c r="I93">
        <v>4.76</v>
      </c>
    </row>
    <row r="94" spans="1:9" x14ac:dyDescent="0.35">
      <c r="A94" t="s">
        <v>99</v>
      </c>
      <c r="B94" t="s">
        <v>155</v>
      </c>
      <c r="C94">
        <v>8500</v>
      </c>
      <c r="D94">
        <v>5</v>
      </c>
      <c r="E94">
        <v>9000</v>
      </c>
      <c r="F94">
        <f t="shared" si="1"/>
        <v>0</v>
      </c>
      <c r="G94">
        <v>500</v>
      </c>
      <c r="H94" t="s">
        <v>290</v>
      </c>
      <c r="I94">
        <v>5.88</v>
      </c>
    </row>
    <row r="95" spans="1:9" x14ac:dyDescent="0.35">
      <c r="A95" t="s">
        <v>100</v>
      </c>
      <c r="B95" t="s">
        <v>155</v>
      </c>
      <c r="C95">
        <v>14000</v>
      </c>
      <c r="D95">
        <v>1</v>
      </c>
      <c r="E95">
        <v>15000</v>
      </c>
      <c r="F95">
        <f t="shared" si="1"/>
        <v>0</v>
      </c>
      <c r="G95">
        <v>1000</v>
      </c>
      <c r="H95" t="s">
        <v>291</v>
      </c>
      <c r="I95">
        <v>7.14</v>
      </c>
    </row>
    <row r="96" spans="1:9" x14ac:dyDescent="0.35">
      <c r="A96" t="s">
        <v>101</v>
      </c>
      <c r="B96" t="s">
        <v>155</v>
      </c>
      <c r="C96">
        <v>252.64</v>
      </c>
      <c r="D96">
        <v>100</v>
      </c>
      <c r="E96">
        <v>300</v>
      </c>
      <c r="F96">
        <f t="shared" si="1"/>
        <v>0</v>
      </c>
      <c r="G96">
        <v>47.360000000000007</v>
      </c>
      <c r="H96" t="s">
        <v>292</v>
      </c>
      <c r="I96">
        <v>18.75</v>
      </c>
    </row>
    <row r="97" spans="1:9" x14ac:dyDescent="0.35">
      <c r="A97" t="s">
        <v>102</v>
      </c>
      <c r="B97" t="s">
        <v>168</v>
      </c>
      <c r="C97">
        <v>4145.3999999999996</v>
      </c>
      <c r="D97">
        <v>5</v>
      </c>
      <c r="E97">
        <v>5000</v>
      </c>
      <c r="F97">
        <f t="shared" si="1"/>
        <v>0</v>
      </c>
      <c r="G97">
        <v>854.60000000000036</v>
      </c>
      <c r="H97" t="s">
        <v>293</v>
      </c>
      <c r="I97">
        <v>20.62</v>
      </c>
    </row>
    <row r="98" spans="1:9" x14ac:dyDescent="0.35">
      <c r="A98" t="s">
        <v>103</v>
      </c>
      <c r="B98" t="s">
        <v>162</v>
      </c>
      <c r="C98">
        <v>259.45999999999998</v>
      </c>
      <c r="D98">
        <v>200</v>
      </c>
      <c r="E98">
        <v>300</v>
      </c>
      <c r="F98">
        <f t="shared" si="1"/>
        <v>0</v>
      </c>
      <c r="G98">
        <v>40.54000000000002</v>
      </c>
      <c r="H98" t="s">
        <v>294</v>
      </c>
      <c r="I98">
        <v>15.62</v>
      </c>
    </row>
    <row r="99" spans="1:9" x14ac:dyDescent="0.35">
      <c r="A99" t="s">
        <v>104</v>
      </c>
      <c r="B99" t="s">
        <v>190</v>
      </c>
      <c r="C99">
        <v>30053</v>
      </c>
      <c r="D99">
        <v>1</v>
      </c>
      <c r="E99">
        <v>34500</v>
      </c>
      <c r="F99">
        <f t="shared" si="1"/>
        <v>0</v>
      </c>
      <c r="G99">
        <v>4447</v>
      </c>
      <c r="H99" t="s">
        <v>295</v>
      </c>
      <c r="I99">
        <v>14.8</v>
      </c>
    </row>
    <row r="100" spans="1:9" x14ac:dyDescent="0.35">
      <c r="A100" t="s">
        <v>105</v>
      </c>
      <c r="B100" t="s">
        <v>191</v>
      </c>
      <c r="C100">
        <v>22000</v>
      </c>
      <c r="D100">
        <v>1</v>
      </c>
      <c r="E100">
        <v>29000</v>
      </c>
      <c r="F100">
        <f t="shared" si="1"/>
        <v>0</v>
      </c>
      <c r="G100">
        <v>7000</v>
      </c>
      <c r="H100" t="s">
        <v>296</v>
      </c>
      <c r="I100">
        <v>31.82</v>
      </c>
    </row>
    <row r="101" spans="1:9" x14ac:dyDescent="0.35">
      <c r="A101" t="s">
        <v>106</v>
      </c>
      <c r="B101" t="s">
        <v>155</v>
      </c>
      <c r="C101">
        <v>2600</v>
      </c>
      <c r="D101">
        <v>10</v>
      </c>
      <c r="E101">
        <v>2800</v>
      </c>
      <c r="F101">
        <f t="shared" si="1"/>
        <v>0</v>
      </c>
      <c r="G101">
        <v>200</v>
      </c>
      <c r="H101" t="s">
        <v>297</v>
      </c>
      <c r="I101">
        <v>7.69</v>
      </c>
    </row>
    <row r="102" spans="1:9" x14ac:dyDescent="0.35">
      <c r="A102" t="s">
        <v>107</v>
      </c>
      <c r="B102" t="s">
        <v>155</v>
      </c>
      <c r="C102">
        <v>4550</v>
      </c>
      <c r="D102">
        <v>10</v>
      </c>
      <c r="E102">
        <v>4800</v>
      </c>
      <c r="F102">
        <f t="shared" si="1"/>
        <v>0</v>
      </c>
      <c r="G102">
        <v>250</v>
      </c>
      <c r="H102" t="s">
        <v>298</v>
      </c>
      <c r="I102">
        <v>5.49</v>
      </c>
    </row>
    <row r="103" spans="1:9" x14ac:dyDescent="0.35">
      <c r="A103" t="s">
        <v>108</v>
      </c>
      <c r="B103" t="s">
        <v>155</v>
      </c>
      <c r="C103">
        <v>16303.68</v>
      </c>
      <c r="D103">
        <v>2</v>
      </c>
      <c r="E103">
        <v>19000</v>
      </c>
      <c r="F103">
        <f t="shared" si="1"/>
        <v>0</v>
      </c>
      <c r="G103">
        <v>2696.32</v>
      </c>
      <c r="H103" t="s">
        <v>299</v>
      </c>
      <c r="I103">
        <v>16.54</v>
      </c>
    </row>
    <row r="104" spans="1:9" x14ac:dyDescent="0.35">
      <c r="A104" t="s">
        <v>109</v>
      </c>
      <c r="B104" t="s">
        <v>155</v>
      </c>
      <c r="C104">
        <v>16303.68</v>
      </c>
      <c r="D104">
        <v>3</v>
      </c>
      <c r="E104">
        <v>19000</v>
      </c>
      <c r="F104">
        <f t="shared" si="1"/>
        <v>0</v>
      </c>
      <c r="G104">
        <v>2696.32</v>
      </c>
      <c r="H104" t="s">
        <v>300</v>
      </c>
      <c r="I104">
        <v>16.54</v>
      </c>
    </row>
    <row r="105" spans="1:9" x14ac:dyDescent="0.35">
      <c r="A105" t="s">
        <v>110</v>
      </c>
      <c r="B105" t="s">
        <v>155</v>
      </c>
      <c r="C105">
        <v>16303.68</v>
      </c>
      <c r="D105">
        <v>2</v>
      </c>
      <c r="E105">
        <v>19000</v>
      </c>
      <c r="F105">
        <f t="shared" si="1"/>
        <v>0</v>
      </c>
      <c r="G105">
        <v>2696.32</v>
      </c>
      <c r="H105" t="s">
        <v>301</v>
      </c>
      <c r="I105">
        <v>16.54</v>
      </c>
    </row>
    <row r="106" spans="1:9" x14ac:dyDescent="0.35">
      <c r="A106" t="s">
        <v>111</v>
      </c>
      <c r="B106" t="s">
        <v>161</v>
      </c>
      <c r="C106">
        <v>16303.68</v>
      </c>
      <c r="D106">
        <v>2</v>
      </c>
      <c r="E106">
        <v>19000</v>
      </c>
      <c r="F106">
        <f t="shared" si="1"/>
        <v>0</v>
      </c>
      <c r="G106">
        <v>2696.32</v>
      </c>
      <c r="H106" t="s">
        <v>302</v>
      </c>
      <c r="I106">
        <v>16.54</v>
      </c>
    </row>
    <row r="107" spans="1:9" x14ac:dyDescent="0.35">
      <c r="A107" t="s">
        <v>112</v>
      </c>
      <c r="B107" t="s">
        <v>189</v>
      </c>
      <c r="C107">
        <v>15054.93</v>
      </c>
      <c r="D107">
        <v>2</v>
      </c>
      <c r="E107">
        <v>17000</v>
      </c>
      <c r="F107">
        <f t="shared" si="1"/>
        <v>0</v>
      </c>
      <c r="G107">
        <v>1945.07</v>
      </c>
      <c r="H107" t="s">
        <v>303</v>
      </c>
      <c r="I107">
        <v>12.92</v>
      </c>
    </row>
    <row r="108" spans="1:9" x14ac:dyDescent="0.35">
      <c r="A108" t="s">
        <v>113</v>
      </c>
      <c r="B108" t="s">
        <v>189</v>
      </c>
      <c r="C108">
        <v>16467</v>
      </c>
      <c r="D108">
        <v>2</v>
      </c>
      <c r="E108">
        <v>19000</v>
      </c>
      <c r="F108">
        <f t="shared" si="1"/>
        <v>0</v>
      </c>
      <c r="G108">
        <v>2533</v>
      </c>
      <c r="H108" t="s">
        <v>304</v>
      </c>
      <c r="I108">
        <v>15.38</v>
      </c>
    </row>
    <row r="109" spans="1:9" x14ac:dyDescent="0.35">
      <c r="A109" t="s">
        <v>114</v>
      </c>
      <c r="B109" t="s">
        <v>155</v>
      </c>
      <c r="C109">
        <v>15054.93</v>
      </c>
      <c r="D109">
        <v>2</v>
      </c>
      <c r="E109">
        <v>17000</v>
      </c>
      <c r="F109">
        <f t="shared" si="1"/>
        <v>0</v>
      </c>
      <c r="G109">
        <v>1945.07</v>
      </c>
      <c r="H109" t="s">
        <v>305</v>
      </c>
      <c r="I109">
        <v>12.92</v>
      </c>
    </row>
    <row r="110" spans="1:9" x14ac:dyDescent="0.35">
      <c r="A110" t="s">
        <v>115</v>
      </c>
      <c r="B110" t="s">
        <v>161</v>
      </c>
      <c r="C110">
        <v>15054</v>
      </c>
      <c r="D110">
        <v>2</v>
      </c>
      <c r="E110">
        <v>17000</v>
      </c>
      <c r="F110">
        <f t="shared" si="1"/>
        <v>0</v>
      </c>
      <c r="G110">
        <v>1946</v>
      </c>
      <c r="H110" t="s">
        <v>306</v>
      </c>
      <c r="I110">
        <v>12.93</v>
      </c>
    </row>
    <row r="111" spans="1:9" x14ac:dyDescent="0.35">
      <c r="A111" t="s">
        <v>116</v>
      </c>
      <c r="B111" t="s">
        <v>155</v>
      </c>
      <c r="C111">
        <v>13700</v>
      </c>
      <c r="D111">
        <v>1</v>
      </c>
      <c r="E111">
        <v>16000</v>
      </c>
      <c r="F111">
        <f t="shared" si="1"/>
        <v>0</v>
      </c>
      <c r="G111">
        <v>2300</v>
      </c>
      <c r="H111" t="s">
        <v>307</v>
      </c>
      <c r="I111">
        <v>16.79</v>
      </c>
    </row>
    <row r="112" spans="1:9" x14ac:dyDescent="0.35">
      <c r="A112" t="s">
        <v>117</v>
      </c>
      <c r="B112" t="s">
        <v>155</v>
      </c>
      <c r="C112">
        <v>26640</v>
      </c>
      <c r="D112">
        <v>1</v>
      </c>
      <c r="E112">
        <v>31000</v>
      </c>
      <c r="F112">
        <f t="shared" si="1"/>
        <v>0</v>
      </c>
      <c r="G112">
        <v>4360</v>
      </c>
      <c r="H112" t="s">
        <v>308</v>
      </c>
      <c r="I112">
        <v>16.37</v>
      </c>
    </row>
    <row r="113" spans="1:9" x14ac:dyDescent="0.35">
      <c r="A113" t="s">
        <v>118</v>
      </c>
      <c r="B113" t="s">
        <v>155</v>
      </c>
      <c r="C113">
        <v>19425</v>
      </c>
      <c r="D113">
        <v>1</v>
      </c>
      <c r="E113">
        <v>23000</v>
      </c>
      <c r="F113">
        <f t="shared" si="1"/>
        <v>0</v>
      </c>
      <c r="G113">
        <v>3575</v>
      </c>
      <c r="H113" t="s">
        <v>309</v>
      </c>
      <c r="I113">
        <v>18.399999999999999</v>
      </c>
    </row>
    <row r="114" spans="1:9" x14ac:dyDescent="0.35">
      <c r="A114" t="s">
        <v>119</v>
      </c>
      <c r="B114" t="s">
        <v>155</v>
      </c>
      <c r="C114">
        <v>944.05</v>
      </c>
      <c r="D114">
        <v>100</v>
      </c>
      <c r="E114">
        <v>1000</v>
      </c>
      <c r="F114">
        <f t="shared" si="1"/>
        <v>0</v>
      </c>
      <c r="G114">
        <v>55.950000000000053</v>
      </c>
      <c r="H114" t="s">
        <v>310</v>
      </c>
      <c r="I114">
        <v>5.93</v>
      </c>
    </row>
    <row r="115" spans="1:9" x14ac:dyDescent="0.35">
      <c r="A115" t="s">
        <v>120</v>
      </c>
      <c r="B115" t="s">
        <v>155</v>
      </c>
      <c r="C115">
        <v>10545</v>
      </c>
      <c r="D115">
        <v>10</v>
      </c>
      <c r="E115">
        <v>12000</v>
      </c>
      <c r="F115">
        <f t="shared" si="1"/>
        <v>0</v>
      </c>
      <c r="G115">
        <v>1455</v>
      </c>
      <c r="H115" t="s">
        <v>311</v>
      </c>
      <c r="I115">
        <v>13.8</v>
      </c>
    </row>
    <row r="116" spans="1:9" x14ac:dyDescent="0.35">
      <c r="A116" t="s">
        <v>121</v>
      </c>
      <c r="B116" t="s">
        <v>155</v>
      </c>
      <c r="C116">
        <v>11877</v>
      </c>
      <c r="D116">
        <v>10</v>
      </c>
      <c r="E116">
        <v>14000</v>
      </c>
      <c r="F116">
        <f t="shared" si="1"/>
        <v>0</v>
      </c>
      <c r="G116">
        <v>2123</v>
      </c>
      <c r="H116" t="s">
        <v>312</v>
      </c>
      <c r="I116">
        <v>17.87</v>
      </c>
    </row>
    <row r="117" spans="1:9" x14ac:dyDescent="0.35">
      <c r="A117" t="s">
        <v>122</v>
      </c>
      <c r="B117" t="s">
        <v>155</v>
      </c>
      <c r="C117">
        <v>15728</v>
      </c>
      <c r="D117">
        <v>10</v>
      </c>
      <c r="E117">
        <v>18000</v>
      </c>
      <c r="F117">
        <f t="shared" si="1"/>
        <v>0</v>
      </c>
      <c r="G117">
        <v>2272</v>
      </c>
      <c r="H117" t="s">
        <v>313</v>
      </c>
      <c r="I117">
        <v>14.45</v>
      </c>
    </row>
    <row r="118" spans="1:9" x14ac:dyDescent="0.35">
      <c r="A118" t="s">
        <v>123</v>
      </c>
      <c r="B118" t="s">
        <v>155</v>
      </c>
      <c r="C118">
        <v>34788.51</v>
      </c>
      <c r="D118">
        <v>1</v>
      </c>
      <c r="E118">
        <v>42000</v>
      </c>
      <c r="F118">
        <f t="shared" si="1"/>
        <v>0</v>
      </c>
      <c r="G118">
        <v>7211.489999999998</v>
      </c>
      <c r="H118" t="s">
        <v>314</v>
      </c>
      <c r="I118">
        <v>20.73</v>
      </c>
    </row>
    <row r="119" spans="1:9" x14ac:dyDescent="0.35">
      <c r="A119" t="s">
        <v>124</v>
      </c>
      <c r="B119" t="s">
        <v>155</v>
      </c>
      <c r="C119">
        <v>9722.49</v>
      </c>
      <c r="D119">
        <v>1</v>
      </c>
      <c r="E119">
        <v>12000</v>
      </c>
      <c r="F119">
        <f t="shared" si="1"/>
        <v>0</v>
      </c>
      <c r="G119">
        <v>2277.5100000000002</v>
      </c>
      <c r="H119" t="s">
        <v>315</v>
      </c>
      <c r="I119">
        <v>23.43</v>
      </c>
    </row>
    <row r="120" spans="1:9" x14ac:dyDescent="0.35">
      <c r="A120" t="s">
        <v>125</v>
      </c>
      <c r="B120" t="s">
        <v>155</v>
      </c>
      <c r="C120">
        <v>11871.45</v>
      </c>
      <c r="D120">
        <v>2</v>
      </c>
      <c r="E120">
        <v>13500</v>
      </c>
      <c r="F120">
        <f t="shared" si="1"/>
        <v>0</v>
      </c>
      <c r="G120">
        <v>1628.549999999999</v>
      </c>
      <c r="H120" t="s">
        <v>316</v>
      </c>
      <c r="I120">
        <v>13.72</v>
      </c>
    </row>
    <row r="121" spans="1:9" x14ac:dyDescent="0.35">
      <c r="A121" t="s">
        <v>126</v>
      </c>
      <c r="B121" t="s">
        <v>162</v>
      </c>
      <c r="C121">
        <v>2900</v>
      </c>
      <c r="D121">
        <v>10</v>
      </c>
      <c r="E121">
        <v>3000</v>
      </c>
      <c r="F121">
        <f t="shared" si="1"/>
        <v>0</v>
      </c>
      <c r="G121">
        <v>100</v>
      </c>
      <c r="H121" t="s">
        <v>317</v>
      </c>
      <c r="I121">
        <v>3.45</v>
      </c>
    </row>
    <row r="122" spans="1:9" x14ac:dyDescent="0.35">
      <c r="A122" t="s">
        <v>127</v>
      </c>
      <c r="B122" t="s">
        <v>192</v>
      </c>
      <c r="C122">
        <v>1500</v>
      </c>
      <c r="D122">
        <v>10</v>
      </c>
      <c r="E122">
        <v>1600</v>
      </c>
      <c r="F122">
        <f t="shared" si="1"/>
        <v>0</v>
      </c>
      <c r="G122">
        <v>100</v>
      </c>
      <c r="H122" t="s">
        <v>318</v>
      </c>
      <c r="I122">
        <v>6.67</v>
      </c>
    </row>
    <row r="123" spans="1:9" x14ac:dyDescent="0.35">
      <c r="A123" t="s">
        <v>128</v>
      </c>
      <c r="B123" t="s">
        <v>155</v>
      </c>
      <c r="C123">
        <v>6900</v>
      </c>
      <c r="D123">
        <v>5</v>
      </c>
      <c r="E123">
        <v>7300</v>
      </c>
      <c r="F123">
        <f t="shared" si="1"/>
        <v>0</v>
      </c>
      <c r="G123">
        <v>400</v>
      </c>
      <c r="H123" t="s">
        <v>319</v>
      </c>
      <c r="I123">
        <v>5.8</v>
      </c>
    </row>
    <row r="124" spans="1:9" x14ac:dyDescent="0.35">
      <c r="A124" t="s">
        <v>129</v>
      </c>
      <c r="B124" t="s">
        <v>168</v>
      </c>
      <c r="C124">
        <v>7725.37</v>
      </c>
      <c r="D124">
        <v>5</v>
      </c>
      <c r="E124">
        <v>9000</v>
      </c>
      <c r="F124">
        <f t="shared" si="1"/>
        <v>0</v>
      </c>
      <c r="G124">
        <v>1274.6300000000001</v>
      </c>
      <c r="H124" t="s">
        <v>320</v>
      </c>
      <c r="I124">
        <v>16.5</v>
      </c>
    </row>
    <row r="125" spans="1:9" x14ac:dyDescent="0.35">
      <c r="A125" t="s">
        <v>130</v>
      </c>
      <c r="B125" t="s">
        <v>193</v>
      </c>
      <c r="C125">
        <v>4900</v>
      </c>
      <c r="D125">
        <v>10</v>
      </c>
      <c r="E125">
        <v>5000</v>
      </c>
      <c r="F125">
        <f t="shared" si="1"/>
        <v>0</v>
      </c>
      <c r="G125">
        <v>100</v>
      </c>
      <c r="H125" t="s">
        <v>321</v>
      </c>
      <c r="I125">
        <v>2.04</v>
      </c>
    </row>
    <row r="126" spans="1:9" x14ac:dyDescent="0.35">
      <c r="A126" t="s">
        <v>131</v>
      </c>
      <c r="B126" t="s">
        <v>194</v>
      </c>
      <c r="C126">
        <v>3100</v>
      </c>
      <c r="D126">
        <v>10</v>
      </c>
      <c r="E126">
        <v>3300</v>
      </c>
      <c r="F126">
        <f t="shared" si="1"/>
        <v>0</v>
      </c>
      <c r="G126">
        <v>200</v>
      </c>
      <c r="H126" t="s">
        <v>322</v>
      </c>
      <c r="I126">
        <v>6.45</v>
      </c>
    </row>
    <row r="127" spans="1:9" x14ac:dyDescent="0.35">
      <c r="A127" t="s">
        <v>132</v>
      </c>
      <c r="B127" t="s">
        <v>155</v>
      </c>
      <c r="C127">
        <v>2100</v>
      </c>
      <c r="D127">
        <v>10</v>
      </c>
      <c r="E127">
        <v>2200</v>
      </c>
      <c r="F127">
        <f t="shared" si="1"/>
        <v>0</v>
      </c>
      <c r="G127">
        <v>100</v>
      </c>
      <c r="H127" t="s">
        <v>323</v>
      </c>
      <c r="I127">
        <v>4.76</v>
      </c>
    </row>
    <row r="128" spans="1:9" x14ac:dyDescent="0.35">
      <c r="A128" t="s">
        <v>133</v>
      </c>
      <c r="B128" t="s">
        <v>155</v>
      </c>
      <c r="C128">
        <v>19869</v>
      </c>
      <c r="D128">
        <v>1</v>
      </c>
      <c r="E128">
        <v>24000</v>
      </c>
      <c r="F128">
        <f t="shared" si="1"/>
        <v>0</v>
      </c>
      <c r="G128">
        <v>4131</v>
      </c>
      <c r="H128" t="s">
        <v>324</v>
      </c>
      <c r="I128">
        <v>20.79</v>
      </c>
    </row>
    <row r="129" spans="1:9" x14ac:dyDescent="0.35">
      <c r="A129" t="s">
        <v>134</v>
      </c>
      <c r="B129" t="s">
        <v>155</v>
      </c>
      <c r="C129">
        <v>32412</v>
      </c>
      <c r="D129">
        <v>1</v>
      </c>
      <c r="E129">
        <v>38000</v>
      </c>
      <c r="F129">
        <f t="shared" si="1"/>
        <v>0</v>
      </c>
      <c r="G129">
        <v>5588</v>
      </c>
      <c r="H129" t="s">
        <v>325</v>
      </c>
      <c r="I129">
        <v>17.239999999999998</v>
      </c>
    </row>
    <row r="130" spans="1:9" x14ac:dyDescent="0.35">
      <c r="A130" t="s">
        <v>135</v>
      </c>
      <c r="B130" t="s">
        <v>155</v>
      </c>
      <c r="C130">
        <v>2442</v>
      </c>
      <c r="D130">
        <v>25</v>
      </c>
      <c r="E130">
        <v>3000</v>
      </c>
      <c r="F130">
        <f t="shared" si="1"/>
        <v>0</v>
      </c>
      <c r="G130">
        <v>558</v>
      </c>
      <c r="H130" t="s">
        <v>326</v>
      </c>
      <c r="I130">
        <v>22.85</v>
      </c>
    </row>
    <row r="131" spans="1:9" x14ac:dyDescent="0.35">
      <c r="A131" t="s">
        <v>136</v>
      </c>
      <c r="B131" t="s">
        <v>155</v>
      </c>
      <c r="C131">
        <v>18204</v>
      </c>
      <c r="D131">
        <v>1</v>
      </c>
      <c r="E131">
        <v>22000</v>
      </c>
      <c r="F131">
        <f t="shared" ref="F131:F149" si="2">MOD(E131,100)</f>
        <v>0</v>
      </c>
      <c r="G131">
        <v>3796</v>
      </c>
      <c r="H131" t="s">
        <v>327</v>
      </c>
      <c r="I131">
        <v>20.85</v>
      </c>
    </row>
    <row r="132" spans="1:9" x14ac:dyDescent="0.35">
      <c r="A132" t="s">
        <v>137</v>
      </c>
      <c r="B132" t="s">
        <v>162</v>
      </c>
      <c r="C132">
        <v>499</v>
      </c>
      <c r="D132">
        <v>100</v>
      </c>
      <c r="E132">
        <v>625</v>
      </c>
      <c r="F132">
        <f t="shared" si="2"/>
        <v>25</v>
      </c>
      <c r="G132">
        <v>126</v>
      </c>
      <c r="H132" t="s">
        <v>328</v>
      </c>
      <c r="I132">
        <v>25.25</v>
      </c>
    </row>
    <row r="133" spans="1:9" x14ac:dyDescent="0.35">
      <c r="A133" t="s">
        <v>138</v>
      </c>
      <c r="B133" t="s">
        <v>155</v>
      </c>
      <c r="C133">
        <v>13271.16</v>
      </c>
      <c r="D133">
        <v>1</v>
      </c>
      <c r="E133">
        <v>17000</v>
      </c>
      <c r="F133">
        <f t="shared" si="2"/>
        <v>0</v>
      </c>
      <c r="G133">
        <v>3728.84</v>
      </c>
      <c r="H133" t="s">
        <v>329</v>
      </c>
      <c r="I133">
        <v>28.1</v>
      </c>
    </row>
    <row r="134" spans="1:9" x14ac:dyDescent="0.35">
      <c r="A134" t="s">
        <v>139</v>
      </c>
      <c r="B134" t="s">
        <v>155</v>
      </c>
      <c r="C134">
        <v>13271.16</v>
      </c>
      <c r="D134">
        <v>1</v>
      </c>
      <c r="E134">
        <v>17000</v>
      </c>
      <c r="F134">
        <f t="shared" si="2"/>
        <v>0</v>
      </c>
      <c r="G134">
        <v>3728.84</v>
      </c>
      <c r="H134" t="s">
        <v>330</v>
      </c>
      <c r="I134">
        <v>28.1</v>
      </c>
    </row>
    <row r="135" spans="1:9" x14ac:dyDescent="0.35">
      <c r="A135" t="s">
        <v>140</v>
      </c>
      <c r="B135" t="s">
        <v>155</v>
      </c>
      <c r="C135">
        <v>76146</v>
      </c>
      <c r="D135">
        <v>1</v>
      </c>
      <c r="E135">
        <v>95000</v>
      </c>
      <c r="F135">
        <f t="shared" si="2"/>
        <v>0</v>
      </c>
      <c r="G135">
        <v>18854</v>
      </c>
      <c r="H135" t="s">
        <v>331</v>
      </c>
      <c r="I135">
        <v>24.76</v>
      </c>
    </row>
    <row r="136" spans="1:9" x14ac:dyDescent="0.35">
      <c r="A136" t="s">
        <v>141</v>
      </c>
      <c r="B136" t="s">
        <v>155</v>
      </c>
      <c r="C136">
        <v>18000</v>
      </c>
      <c r="D136">
        <v>1</v>
      </c>
      <c r="E136">
        <v>24500</v>
      </c>
      <c r="F136">
        <f t="shared" si="2"/>
        <v>0</v>
      </c>
      <c r="G136">
        <v>6500</v>
      </c>
      <c r="H136" t="s">
        <v>332</v>
      </c>
      <c r="I136">
        <v>36.11</v>
      </c>
    </row>
    <row r="137" spans="1:9" x14ac:dyDescent="0.35">
      <c r="A137" t="s">
        <v>142</v>
      </c>
      <c r="B137" t="s">
        <v>155</v>
      </c>
      <c r="C137">
        <v>48189</v>
      </c>
      <c r="D137">
        <v>1</v>
      </c>
      <c r="E137">
        <v>58000</v>
      </c>
      <c r="F137">
        <f t="shared" si="2"/>
        <v>0</v>
      </c>
      <c r="G137">
        <v>9811</v>
      </c>
      <c r="H137" t="s">
        <v>333</v>
      </c>
      <c r="I137">
        <v>20.36</v>
      </c>
    </row>
    <row r="138" spans="1:9" x14ac:dyDescent="0.35">
      <c r="A138" t="s">
        <v>143</v>
      </c>
      <c r="B138" t="s">
        <v>195</v>
      </c>
      <c r="C138">
        <v>50000</v>
      </c>
      <c r="D138">
        <v>1</v>
      </c>
      <c r="E138">
        <v>67500</v>
      </c>
      <c r="F138">
        <f t="shared" si="2"/>
        <v>0</v>
      </c>
      <c r="G138">
        <v>17500</v>
      </c>
      <c r="H138" t="s">
        <v>334</v>
      </c>
      <c r="I138">
        <v>35</v>
      </c>
    </row>
    <row r="139" spans="1:9" x14ac:dyDescent="0.35">
      <c r="A139" t="s">
        <v>144</v>
      </c>
      <c r="B139" t="s">
        <v>196</v>
      </c>
      <c r="C139">
        <v>27000</v>
      </c>
      <c r="D139">
        <v>1</v>
      </c>
      <c r="E139">
        <v>33000</v>
      </c>
      <c r="F139">
        <f t="shared" si="2"/>
        <v>0</v>
      </c>
      <c r="G139">
        <v>6000</v>
      </c>
      <c r="H139" t="s">
        <v>335</v>
      </c>
      <c r="I139">
        <v>22.22</v>
      </c>
    </row>
    <row r="140" spans="1:9" x14ac:dyDescent="0.35">
      <c r="A140" t="s">
        <v>145</v>
      </c>
      <c r="B140" t="s">
        <v>155</v>
      </c>
      <c r="C140">
        <v>19000</v>
      </c>
      <c r="D140">
        <v>1</v>
      </c>
      <c r="E140">
        <v>24000</v>
      </c>
      <c r="F140">
        <f t="shared" si="2"/>
        <v>0</v>
      </c>
      <c r="G140">
        <v>5000</v>
      </c>
      <c r="H140" t="s">
        <v>336</v>
      </c>
      <c r="I140">
        <v>26.32</v>
      </c>
    </row>
    <row r="141" spans="1:9" x14ac:dyDescent="0.35">
      <c r="A141" t="s">
        <v>146</v>
      </c>
      <c r="B141" t="s">
        <v>155</v>
      </c>
      <c r="C141">
        <v>22549</v>
      </c>
      <c r="D141">
        <v>2</v>
      </c>
      <c r="E141">
        <v>26000</v>
      </c>
      <c r="F141">
        <f t="shared" si="2"/>
        <v>0</v>
      </c>
      <c r="G141">
        <v>3451</v>
      </c>
      <c r="H141" t="s">
        <v>337</v>
      </c>
      <c r="I141">
        <v>15.3</v>
      </c>
    </row>
    <row r="142" spans="1:9" x14ac:dyDescent="0.35">
      <c r="A142" t="s">
        <v>147</v>
      </c>
      <c r="B142" t="s">
        <v>155</v>
      </c>
      <c r="C142">
        <v>20188</v>
      </c>
      <c r="D142">
        <v>2</v>
      </c>
      <c r="E142">
        <v>24000</v>
      </c>
      <c r="F142">
        <f t="shared" si="2"/>
        <v>0</v>
      </c>
      <c r="G142">
        <v>3812</v>
      </c>
      <c r="H142" t="s">
        <v>338</v>
      </c>
      <c r="I142">
        <v>18.88</v>
      </c>
    </row>
    <row r="143" spans="1:9" x14ac:dyDescent="0.35">
      <c r="A143" t="s">
        <v>148</v>
      </c>
      <c r="B143" t="s">
        <v>189</v>
      </c>
      <c r="C143">
        <v>26000</v>
      </c>
      <c r="D143">
        <v>1</v>
      </c>
      <c r="E143">
        <v>34000</v>
      </c>
      <c r="F143">
        <f t="shared" si="2"/>
        <v>0</v>
      </c>
      <c r="G143">
        <v>8000</v>
      </c>
      <c r="H143" t="s">
        <v>339</v>
      </c>
      <c r="I143">
        <v>30.77</v>
      </c>
    </row>
    <row r="144" spans="1:9" x14ac:dyDescent="0.35">
      <c r="A144" t="s">
        <v>149</v>
      </c>
      <c r="B144" t="s">
        <v>155</v>
      </c>
      <c r="C144">
        <v>900</v>
      </c>
      <c r="D144">
        <v>10</v>
      </c>
      <c r="E144">
        <v>1000</v>
      </c>
      <c r="F144">
        <f t="shared" si="2"/>
        <v>0</v>
      </c>
      <c r="G144">
        <v>100</v>
      </c>
      <c r="H144" t="s">
        <v>340</v>
      </c>
      <c r="I144">
        <v>11.11</v>
      </c>
    </row>
    <row r="145" spans="1:9" x14ac:dyDescent="0.35">
      <c r="A145" t="s">
        <v>150</v>
      </c>
      <c r="B145" t="s">
        <v>155</v>
      </c>
      <c r="C145">
        <v>5400</v>
      </c>
      <c r="D145">
        <v>10</v>
      </c>
      <c r="E145">
        <v>5500</v>
      </c>
      <c r="F145">
        <f t="shared" si="2"/>
        <v>0</v>
      </c>
      <c r="G145">
        <v>100</v>
      </c>
      <c r="H145" t="s">
        <v>341</v>
      </c>
      <c r="I145">
        <v>1.85</v>
      </c>
    </row>
    <row r="146" spans="1:9" x14ac:dyDescent="0.35">
      <c r="A146" t="s">
        <v>151</v>
      </c>
      <c r="B146" t="s">
        <v>167</v>
      </c>
      <c r="C146">
        <v>32194.44</v>
      </c>
      <c r="D146">
        <v>2</v>
      </c>
      <c r="E146">
        <v>38000</v>
      </c>
      <c r="F146">
        <f t="shared" si="2"/>
        <v>0</v>
      </c>
      <c r="G146">
        <v>5805.5600000000013</v>
      </c>
      <c r="H146" t="s">
        <v>342</v>
      </c>
      <c r="I146">
        <v>18.03</v>
      </c>
    </row>
    <row r="147" spans="1:9" x14ac:dyDescent="0.35">
      <c r="A147" t="s">
        <v>152</v>
      </c>
      <c r="B147" t="s">
        <v>155</v>
      </c>
      <c r="C147">
        <v>27000</v>
      </c>
      <c r="D147">
        <v>1</v>
      </c>
      <c r="E147">
        <v>28000</v>
      </c>
      <c r="F147">
        <f t="shared" si="2"/>
        <v>0</v>
      </c>
      <c r="G147">
        <v>1000</v>
      </c>
      <c r="H147" t="s">
        <v>343</v>
      </c>
      <c r="I147">
        <v>3.7</v>
      </c>
    </row>
    <row r="148" spans="1:9" x14ac:dyDescent="0.35">
      <c r="A148" t="s">
        <v>153</v>
      </c>
      <c r="B148" t="s">
        <v>157</v>
      </c>
      <c r="C148">
        <v>3300</v>
      </c>
      <c r="D148">
        <v>10</v>
      </c>
      <c r="E148">
        <v>3500</v>
      </c>
      <c r="F148">
        <f t="shared" si="2"/>
        <v>0</v>
      </c>
      <c r="G148">
        <v>200</v>
      </c>
      <c r="H148" t="s">
        <v>344</v>
      </c>
      <c r="I148">
        <v>6.06</v>
      </c>
    </row>
    <row r="149" spans="1:9" x14ac:dyDescent="0.35">
      <c r="A149" t="s">
        <v>154</v>
      </c>
      <c r="B149" t="s">
        <v>197</v>
      </c>
      <c r="C149">
        <v>9150</v>
      </c>
      <c r="D149">
        <v>5</v>
      </c>
      <c r="E149">
        <v>9600</v>
      </c>
      <c r="F149">
        <f t="shared" si="2"/>
        <v>0</v>
      </c>
      <c r="G149">
        <v>450</v>
      </c>
      <c r="H149" t="s">
        <v>345</v>
      </c>
      <c r="I149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Zulfikar</cp:lastModifiedBy>
  <dcterms:created xsi:type="dcterms:W3CDTF">2025-09-07T06:47:52Z</dcterms:created>
  <dcterms:modified xsi:type="dcterms:W3CDTF">2025-09-07T08:58:17Z</dcterms:modified>
</cp:coreProperties>
</file>